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a98fddd6747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ensions" sheetId="1" r:id="R4bd3f088481a4b7e"/>
    <x:sheet xmlns:r="http://schemas.openxmlformats.org/officeDocument/2006/relationships" name="First measurements" sheetId="2" r:id="R39b7150d801e4004"/>
    <x:sheet xmlns:r="http://schemas.openxmlformats.org/officeDocument/2006/relationships" name="Stations" sheetId="3" r:id="Rdbef016b5c224b8a"/>
    <x:sheet xmlns:r="http://schemas.openxmlformats.org/officeDocument/2006/relationships" name="Validation" sheetId="4" r:id="R8c9cdb6aa15c4d43"/>
    <x:sheet xmlns:r="http://schemas.openxmlformats.org/officeDocument/2006/relationships" name="Requirements" sheetId="5" r:id="R33e99f34c6c941f2"/>
    <x:sheet xmlns:r="http://schemas.openxmlformats.org/officeDocument/2006/relationships" name="Sources" sheetId="6" r:id="Ra954914e397747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"/>
    <x:numFmt numFmtId="202" formatCode="0.0"/>
    <x:numFmt numFmtId="203" formatCode="0.0%"/>
  </x:numFmts>
  <x:fonts count="7">
    <x:font>
      <x:sz val="11"/>
      <x:name val="Carlito"/>
    </x:font>
    <x:font>
      <x:sz val="11"/>
      <x:name val="Arial"/>
    </x:font>
    <x:font>
      <x:sz val="16"/>
      <x:name val="Arial"/>
    </x:font>
    <x:font>
      <x:b/>
      <x:sz val="16"/>
      <x:name val="Arial"/>
    </x:font>
    <x:font>
      <x:i/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1F5F9"/>
      </x:patternFill>
    </x:fill>
    <x:fill>
      <x:patternFill patternType="solid">
        <x:fgColor rgb="FFFFF7DF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2" fontId="1" fillId="4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dec90ddcd54359" /><Relationship Type="http://schemas.openxmlformats.org/officeDocument/2006/relationships/theme" Target="/xl/theme/theme1.xml" Id="Ra49ccd7c78e942e4" /><Relationship Type="http://schemas.openxmlformats.org/officeDocument/2006/relationships/sharedStrings" Target="/xl/sharedStrings.xml" Id="R04e0f5ac77f84ee0" /><Relationship Type="http://schemas.openxmlformats.org/officeDocument/2006/relationships/worksheet" Target="/xl/worksheets/sheet1.xml" Id="R4bd3f088481a4b7e" /><Relationship Type="http://schemas.openxmlformats.org/officeDocument/2006/relationships/worksheet" Target="/xl/worksheets/sheet2.xml" Id="R39b7150d801e4004" /><Relationship Type="http://schemas.openxmlformats.org/officeDocument/2006/relationships/worksheet" Target="/xl/worksheets/sheet3.xml" Id="Rdbef016b5c224b8a" /><Relationship Type="http://schemas.openxmlformats.org/officeDocument/2006/relationships/worksheet" Target="/xl/worksheets/sheet4.xml" Id="R8c9cdb6aa15c4d43" /><Relationship Type="http://schemas.openxmlformats.org/officeDocument/2006/relationships/worksheet" Target="/xl/worksheets/sheet5.xml" Id="R33e99f34c6c941f2" /><Relationship Type="http://schemas.openxmlformats.org/officeDocument/2006/relationships/worksheet" Target="/xl/worksheets/sheet6.xml" Id="Ra954914e39774722" /></Relationships>
</file>

<file path=xl/tables/table1.xml><?xml version="1.0" encoding="utf-8"?>
<x:table xmlns:x="http://schemas.openxmlformats.org/spreadsheetml/2006/main" id="1" name="DimensionsTable" displayName="DimensionsTable" ref="A4:P73" headerRowCount="1" totalsRowCount="0" totalsRowShown="0">
  <x:tableColumns count="16">
    <x:tableColumn id="1" name="ID"/>
    <x:tableColumn id="2" name="Dimension"/>
    <x:tableColumn id="3" name="Reported value"/>
    <x:tableColumn id="4" name="Unit"/>
    <x:tableColumn id="5" name="Length mm"/>
    <x:tableColumn id="6" name="Length in"/>
    <x:tableColumn id="7" name="Class"/>
    <x:tableColumn id="8" name="Confidence"/>
    <x:tableColumn id="9" name="Measurement type"/>
    <x:tableColumn id="10" name="Configuration"/>
    <x:tableColumn id="11" name="Source ID"/>
    <x:tableColumn id="12" name="Source URL"/>
    <x:tableColumn id="13" name="Model/year scope"/>
    <x:tableColumn id="14" name="Notes"/>
    <x:tableColumn id="15" name="Use in geometry"/>
    <x:tableColumn id="16" name="Uncertainty m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rstmeasurementsTable" displayName="FirstmeasurementsTable" ref="A4:K12" headerRowCount="1" totalsRowCount="0" totalsRowShown="0">
  <x:tableColumns count="11">
    <x:tableColumn id="1" name="ID"/>
    <x:tableColumn id="2" name="Measurement"/>
    <x:tableColumn id="3" name="Reading 1 mm"/>
    <x:tableColumn id="4" name="Reading 2 mm"/>
    <x:tableColumn id="5" name="Reading 3 mm"/>
    <x:tableColumn id="6" name="Second span mm"/>
    <x:tableColumn id="7" name="Height reference"/>
    <x:tableColumn id="8" name="Configuration"/>
    <x:tableColumn id="9" name="Endpoint photo IDs"/>
    <x:tableColumn id="10" name="Tool"/>
    <x:tableColumn id="11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tionsTable" displayName="StationsTable" ref="A4:L103" headerRowCount="1" totalsRowCount="0" totalsRowShown="0">
  <x:tableColumns count="12">
    <x:tableColumn id="1" name="Station"/>
    <x:tableColumn id="2" name="Landmark"/>
    <x:tableColumn id="3" name="Sample"/>
    <x:tableColumn id="4" name="Target Z mm"/>
    <x:tableColumn id="5" name="Measured X mm"/>
    <x:tableColumn id="6" name="Measured Z mm"/>
    <x:tableColumn id="7" name="Left Y mm"/>
    <x:tableColumn id="8" name="Right Y mm"/>
    <x:tableColumn id="9" name="Width mm"/>
    <x:tableColumn id="10" name="Width in"/>
    <x:tableColumn id="11" name="Configuration"/>
    <x:tableColumn id="12" name="Photo/point I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Table" displayName="ValidationTable" ref="A4:P44" headerRowCount="1" totalsRowCount="0" totalsRowShown="0">
  <x:tableColumns count="16">
    <x:tableColumn id="1" name="ID"/>
    <x:tableColumn id="2" name="Check"/>
    <x:tableColumn id="3" name="Real mm"/>
    <x:tableColumn id="4" name="Model mm"/>
    <x:tableColumn id="5" name="Difference mm"/>
    <x:tableColumn id="6" name="Error %"/>
    <x:tableColumn id="7" name="Tolerance mm"/>
    <x:tableColumn id="8" name="Uncertainty mm"/>
    <x:tableColumn id="9" name="Result"/>
    <x:tableColumn id="10" name="Real in"/>
    <x:tableColumn id="11" name="Model in"/>
    <x:tableColumn id="12" name="Source / photo"/>
    <x:tableColumn id="13" name="Confidence"/>
    <x:tableColumn id="14" name="Class"/>
    <x:tableColumn id="15" name="Configuration"/>
    <x:tableColumn id="16" name="Point IDs / algorithm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quirementsTable" displayName="RequirementsTable" ref="A4:J16" headerRowCount="1" totalsRowCount="0" totalsRowShown="0">
  <x:tableColumns count="10">
    <x:tableColumn id="1" name="Requirement"/>
    <x:tableColumn id="2" name="Minimum"/>
    <x:tableColumn id="3" name="Maximum"/>
    <x:tableColumn id="4" name="Unit"/>
    <x:tableColumn id="5" name="Minimum mm"/>
    <x:tableColumn id="6" name="Maximum mm"/>
    <x:tableColumn id="7" name="Minimum in"/>
    <x:tableColumn id="8" name="Maximum in"/>
    <x:tableColumn id="9" name="Source"/>
    <x:tableColumn id="10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4:G25" headerRowCount="1" totalsRowCount="0" totalsRowShown="0">
  <x:tableColumns count="7">
    <x:tableColumn id="1" name="ID"/>
    <x:tableColumn id="2" name="Source"/>
    <x:tableColumn id="3" name="URL"/>
    <x:tableColumn id="4" name="Model/year scope"/>
    <x:tableColumn id="5" name="Access status"/>
    <x:tableColumn id="6" name="Accessed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99a591292e4c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149481e06448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f73ef2c3464e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e44725e169540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0e94345515148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09d45583fdf461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42" hidden="0" customWidth="1"/>
    <x:col min="3" max="3" width="14" hidden="0" customWidth="1"/>
    <x:col min="4" max="4" width="9" hidden="0" customWidth="1"/>
    <x:col min="5" max="5" width="14" hidden="0" customWidth="1"/>
    <x:col min="6" max="6" width="14" hidden="0" customWidth="1"/>
    <x:col min="7" max="7" width="9" hidden="0" customWidth="1"/>
    <x:col min="8" max="8" width="12" hidden="0" customWidth="1"/>
    <x:col min="9" max="9" width="31" hidden="0" customWidth="1"/>
    <x:col min="10" max="10" width="37" hidden="0" customWidth="1"/>
    <x:col min="11" max="11" width="12" hidden="0" customWidth="1"/>
    <x:col min="12" max="12" width="65" hidden="0" customWidth="1"/>
    <x:col min="13" max="13" width="42" hidden="0" customWidth="1"/>
    <x:col min="14" max="14" width="58" hidden="0" customWidth="1"/>
    <x:col min="15" max="15" width="18" hidden="0" customWidth="1"/>
    <x:col min="16" max="16" width="16" hidden="0" customWidth="1"/>
  </x:cols>
  <x:sheetData>
    <x:row r="1">
      <x:c r="A1" s="3" t="str">
        <x:v>R1S source dimension register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4" t="str">
        <x:v>2023 target · Published claims are reference-only. A classification does not authorize cabin geometry.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34" customHeight="1">
      <x:c r="A4" s="8" t="str">
        <x:v>ID</x:v>
      </x:c>
      <x:c r="B4" s="8" t="str">
        <x:v>Dimension</x:v>
      </x:c>
      <x:c r="C4" s="8" t="str">
        <x:v>Reported value</x:v>
      </x:c>
      <x:c r="D4" s="8" t="str">
        <x:v>Unit</x:v>
      </x:c>
      <x:c r="E4" s="8" t="str">
        <x:v>Length mm</x:v>
      </x:c>
      <x:c r="F4" s="8" t="str">
        <x:v>Length in</x:v>
      </x:c>
      <x:c r="G4" s="8" t="str">
        <x:v>Class</x:v>
      </x:c>
      <x:c r="H4" s="8" t="str">
        <x:v>Confidence</x:v>
      </x:c>
      <x:c r="I4" s="8" t="str">
        <x:v>Measurement type</x:v>
      </x:c>
      <x:c r="J4" s="8" t="str">
        <x:v>Configuration</x:v>
      </x:c>
      <x:c r="K4" s="8" t="str">
        <x:v>Source ID</x:v>
      </x:c>
      <x:c r="L4" s="8" t="str">
        <x:v>Source URL</x:v>
      </x:c>
      <x:c r="M4" s="8" t="str">
        <x:v>Model/year scope</x:v>
      </x:c>
      <x:c r="N4" s="8" t="str">
        <x:v>Notes</x:v>
      </x:c>
      <x:c r="O4" s="8" t="str">
        <x:v>Use in geometry</x:v>
      </x:c>
      <x:c r="P4" s="8" t="str">
        <x:v>Uncertainty mm</x:v>
      </x:c>
    </x:row>
    <x:row r="5" ht="34" customHeight="1">
      <x:c r="A5" s="10" t="str">
        <x:v>D001</x:v>
      </x:c>
      <x:c r="B5" s="10" t="str">
        <x:v>Overall length</x:v>
      </x:c>
      <x:c r="C5" s="12" t="n">
        <x:v>200.8</x:v>
      </x:c>
      <x:c r="D5" s="12" t="str">
        <x:v>in</x:v>
      </x:c>
      <x:c r="E5" s="12" t="n">
        <x:f>IF(D5="mm",C5,IF(D5="in",C5*25.4,IF(D5="ft",C5*304.8,"")))</x:f>
        <x:v>5100.32</x:v>
      </x:c>
      <x:c r="F5" s="12" t="n">
        <x:f>IF(E5="","",E5/25.4)</x:f>
        <x:v>200.8</x:v>
      </x:c>
      <x:c r="G5" s="10" t="str">
        <x:v>D</x:v>
      </x:c>
      <x:c r="H5" s="14" t="n">
        <x:v>1</x:v>
      </x:c>
      <x:c r="I5" s="10" t="str">
        <x:v>reference_claim</x:v>
      </x:c>
      <x:c r="J5" s="10" t="str">
        <x:v>Unspecified</x:v>
      </x:c>
      <x:c r="K5" s="10" t="str">
        <x:v>U01</x:v>
      </x:c>
      <x:c r="L5" s="10" t="str"/>
      <x:c r="M5" s="10" t="str">
        <x:v>Target 2023 R1S</x:v>
      </x:c>
      <x:c r="N5" s="10" t="str"/>
      <x:c r="O5" s="10" t="str">
        <x:v>No</x:v>
      </x:c>
      <x:c r="P5" s="10"/>
    </x:row>
    <x:row r="6" ht="34" customHeight="1">
      <x:c r="A6" s="11" t="str">
        <x:v>D002</x:v>
      </x:c>
      <x:c r="B6" s="11" t="str">
        <x:v>Wheelbase</x:v>
      </x:c>
      <x:c r="C6" s="13" t="n">
        <x:v>121.1</x:v>
      </x:c>
      <x:c r="D6" s="13" t="str">
        <x:v>in</x:v>
      </x:c>
      <x:c r="E6" s="13" t="n">
        <x:f>IF(D6="mm",C6,IF(D6="in",C6*25.4,IF(D6="ft",C6*304.8,"")))</x:f>
        <x:v>3075.9399999999996</x:v>
      </x:c>
      <x:c r="F6" s="13" t="n">
        <x:f>IF(E6="","",E6/25.4)</x:f>
        <x:v>121.1</x:v>
      </x:c>
      <x:c r="G6" s="11" t="str">
        <x:v>D</x:v>
      </x:c>
      <x:c r="H6" s="15" t="n">
        <x:v>1</x:v>
      </x:c>
      <x:c r="I6" s="11" t="str">
        <x:v>reference_claim</x:v>
      </x:c>
      <x:c r="J6" s="11" t="str">
        <x:v>Unspecified</x:v>
      </x:c>
      <x:c r="K6" s="11" t="str">
        <x:v>U01</x:v>
      </x:c>
      <x:c r="L6" s="11" t="str"/>
      <x:c r="M6" s="11" t="str">
        <x:v>Target 2023 R1S</x:v>
      </x:c>
      <x:c r="N6" s="11" t="str"/>
      <x:c r="O6" s="11" t="str">
        <x:v>No</x:v>
      </x:c>
      <x:c r="P6" s="11"/>
    </x:row>
    <x:row r="7" ht="34" customHeight="1">
      <x:c r="A7" s="10" t="str">
        <x:v>D003</x:v>
      </x:c>
      <x:c r="B7" s="10" t="str">
        <x:v>Exterior width lower</x:v>
      </x:c>
      <x:c r="C7" s="12" t="n">
        <x:v>81.8</x:v>
      </x:c>
      <x:c r="D7" s="12" t="str">
        <x:v>in</x:v>
      </x:c>
      <x:c r="E7" s="12" t="n">
        <x:f>IF(D7="mm",C7,IF(D7="in",C7*25.4,IF(D7="ft",C7*304.8,"")))</x:f>
        <x:v>2077.72</x:v>
      </x:c>
      <x:c r="F7" s="12" t="n">
        <x:f>IF(E7="","",E7/25.4)</x:f>
        <x:v>81.8</x:v>
      </x:c>
      <x:c r="G7" s="10" t="str">
        <x:v>D</x:v>
      </x:c>
      <x:c r="H7" s="14" t="n">
        <x:v>1</x:v>
      </x:c>
      <x:c r="I7" s="10" t="str">
        <x:v>reference_claim</x:v>
      </x:c>
      <x:c r="J7" s="10" t="str">
        <x:v>Unspecified</x:v>
      </x:c>
      <x:c r="K7" s="10" t="str">
        <x:v>U01</x:v>
      </x:c>
      <x:c r="L7" s="10" t="str"/>
      <x:c r="M7" s="10" t="str">
        <x:v>Target 2023 R1S</x:v>
      </x:c>
      <x:c r="N7" s="10" t="str"/>
      <x:c r="O7" s="10" t="str">
        <x:v>No</x:v>
      </x:c>
      <x:c r="P7" s="10"/>
    </x:row>
    <x:row r="8" ht="34" customHeight="1">
      <x:c r="A8" s="11" t="str">
        <x:v>D004</x:v>
      </x:c>
      <x:c r="B8" s="11" t="str">
        <x:v>Exterior width upper</x:v>
      </x:c>
      <x:c r="C8" s="13" t="n">
        <x:v>82</x:v>
      </x:c>
      <x:c r="D8" s="13" t="str">
        <x:v>in</x:v>
      </x:c>
      <x:c r="E8" s="13" t="n">
        <x:f>IF(D8="mm",C8,IF(D8="in",C8*25.4,IF(D8="ft",C8*304.8,"")))</x:f>
        <x:v>2082.7999999999997</x:v>
      </x:c>
      <x:c r="F8" s="13" t="n">
        <x:f>IF(E8="","",E8/25.4)</x:f>
        <x:v>82</x:v>
      </x:c>
      <x:c r="G8" s="11" t="str">
        <x:v>D</x:v>
      </x:c>
      <x:c r="H8" s="15" t="n">
        <x:v>1</x:v>
      </x:c>
      <x:c r="I8" s="11" t="str">
        <x:v>reference_claim</x:v>
      </x:c>
      <x:c r="J8" s="11" t="str">
        <x:v>Unspecified</x:v>
      </x:c>
      <x:c r="K8" s="11" t="str">
        <x:v>U01</x:v>
      </x:c>
      <x:c r="L8" s="11" t="str"/>
      <x:c r="M8" s="11" t="str">
        <x:v>Target 2023 R1S</x:v>
      </x:c>
      <x:c r="N8" s="11" t="str"/>
      <x:c r="O8" s="11" t="str">
        <x:v>No</x:v>
      </x:c>
      <x:c r="P8" s="11"/>
    </x:row>
    <x:row r="9" ht="34" customHeight="1">
      <x:c r="A9" s="10" t="str">
        <x:v>D005</x:v>
      </x:c>
      <x:c r="B9" s="10" t="str">
        <x:v>Overall height</x:v>
      </x:c>
      <x:c r="C9" s="12" t="n">
        <x:v>77.3</x:v>
      </x:c>
      <x:c r="D9" s="12" t="str">
        <x:v>in</x:v>
      </x:c>
      <x:c r="E9" s="12" t="n">
        <x:f>IF(D9="mm",C9,IF(D9="in",C9*25.4,IF(D9="ft",C9*304.8,"")))</x:f>
        <x:v>1963.4199999999998</x:v>
      </x:c>
      <x:c r="F9" s="12" t="n">
        <x:f>IF(E9="","",E9/25.4)</x:f>
        <x:v>77.3</x:v>
      </x:c>
      <x:c r="G9" s="10" t="str">
        <x:v>D</x:v>
      </x:c>
      <x:c r="H9" s="14" t="n">
        <x:v>1</x:v>
      </x:c>
      <x:c r="I9" s="10" t="str">
        <x:v>reference_claim</x:v>
      </x:c>
      <x:c r="J9" s="10" t="str">
        <x:v>Unspecified</x:v>
      </x:c>
      <x:c r="K9" s="10" t="str">
        <x:v>U01</x:v>
      </x:c>
      <x:c r="L9" s="10" t="str"/>
      <x:c r="M9" s="10" t="str">
        <x:v>Target 2023 R1S</x:v>
      </x:c>
      <x:c r="N9" s="10" t="str"/>
      <x:c r="O9" s="10" t="str">
        <x:v>No</x:v>
      </x:c>
      <x:c r="P9" s="10"/>
    </x:row>
    <x:row r="10" ht="34" customHeight="1">
      <x:c r="A10" s="11" t="str">
        <x:v>D006</x:v>
      </x:c>
      <x:c r="B10" s="11" t="str">
        <x:v>Row 2 hip room</x:v>
      </x:c>
      <x:c r="C10" s="13" t="n">
        <x:v>54.2</x:v>
      </x:c>
      <x:c r="D10" s="13" t="str">
        <x:v>in</x:v>
      </x:c>
      <x:c r="E10" s="13" t="n">
        <x:f>IF(D10="mm",C10,IF(D10="in",C10*25.4,IF(D10="ft",C10*304.8,"")))</x:f>
        <x:v>1376.68</x:v>
      </x:c>
      <x:c r="F10" s="13" t="n">
        <x:f>IF(E10="","",E10/25.4)</x:f>
        <x:v>54.2</x:v>
      </x:c>
      <x:c r="G10" s="11" t="str">
        <x:v>D</x:v>
      </x:c>
      <x:c r="H10" s="15" t="n">
        <x:v>1</x:v>
      </x:c>
      <x:c r="I10" s="11" t="str">
        <x:v>reference_claim</x:v>
      </x:c>
      <x:c r="J10" s="11" t="str">
        <x:v>Unspecified</x:v>
      </x:c>
      <x:c r="K10" s="11" t="str">
        <x:v>U01</x:v>
      </x:c>
      <x:c r="L10" s="11" t="str"/>
      <x:c r="M10" s="11" t="str">
        <x:v>Target 2023 R1S</x:v>
      </x:c>
      <x:c r="N10" s="11" t="str"/>
      <x:c r="O10" s="11" t="str">
        <x:v>No</x:v>
      </x:c>
      <x:c r="P10" s="11"/>
    </x:row>
    <x:row r="11" ht="34" customHeight="1">
      <x:c r="A11" s="10" t="str">
        <x:v>D007</x:v>
      </x:c>
      <x:c r="B11" s="10" t="str">
        <x:v>Row 2 shoulder room</x:v>
      </x:c>
      <x:c r="C11" s="12" t="n">
        <x:v>58.9</x:v>
      </x:c>
      <x:c r="D11" s="12" t="str">
        <x:v>in</x:v>
      </x:c>
      <x:c r="E11" s="12" t="n">
        <x:f>IF(D11="mm",C11,IF(D11="in",C11*25.4,IF(D11="ft",C11*304.8,"")))</x:f>
        <x:v>1496.06</x:v>
      </x:c>
      <x:c r="F11" s="12" t="n">
        <x:f>IF(E11="","",E11/25.4)</x:f>
        <x:v>58.9</x:v>
      </x:c>
      <x:c r="G11" s="10" t="str">
        <x:v>D</x:v>
      </x:c>
      <x:c r="H11" s="14" t="n">
        <x:v>1</x:v>
      </x:c>
      <x:c r="I11" s="10" t="str">
        <x:v>reference_claim</x:v>
      </x:c>
      <x:c r="J11" s="10" t="str">
        <x:v>Unspecified</x:v>
      </x:c>
      <x:c r="K11" s="10" t="str">
        <x:v>U01</x:v>
      </x:c>
      <x:c r="L11" s="10" t="str"/>
      <x:c r="M11" s="10" t="str">
        <x:v>Target 2023 R1S</x:v>
      </x:c>
      <x:c r="N11" s="10" t="str"/>
      <x:c r="O11" s="10" t="str">
        <x:v>No</x:v>
      </x:c>
      <x:c r="P11" s="10"/>
    </x:row>
    <x:row r="12" ht="34" customHeight="1">
      <x:c r="A12" s="11" t="str">
        <x:v>D008</x:v>
      </x:c>
      <x:c r="B12" s="11" t="str">
        <x:v>Row 2 headroom</x:v>
      </x:c>
      <x:c r="C12" s="13" t="n">
        <x:v>39.7</x:v>
      </x:c>
      <x:c r="D12" s="13" t="str">
        <x:v>in</x:v>
      </x:c>
      <x:c r="E12" s="13" t="n">
        <x:f>IF(D12="mm",C12,IF(D12="in",C12*25.4,IF(D12="ft",C12*304.8,"")))</x:f>
        <x:v>1008.38</x:v>
      </x:c>
      <x:c r="F12" s="13" t="n">
        <x:f>IF(E12="","",E12/25.4)</x:f>
        <x:v>39.7</x:v>
      </x:c>
      <x:c r="G12" s="11" t="str">
        <x:v>D</x:v>
      </x:c>
      <x:c r="H12" s="15" t="n">
        <x:v>1</x:v>
      </x:c>
      <x:c r="I12" s="11" t="str">
        <x:v>reference_claim</x:v>
      </x:c>
      <x:c r="J12" s="11" t="str">
        <x:v>Unspecified</x:v>
      </x:c>
      <x:c r="K12" s="11" t="str">
        <x:v>U01</x:v>
      </x:c>
      <x:c r="L12" s="11" t="str"/>
      <x:c r="M12" s="11" t="str">
        <x:v>Target 2023 R1S</x:v>
      </x:c>
      <x:c r="N12" s="11" t="str"/>
      <x:c r="O12" s="11" t="str">
        <x:v>No</x:v>
      </x:c>
      <x:c r="P12" s="11"/>
    </x:row>
    <x:row r="13" ht="34" customHeight="1">
      <x:c r="A13" s="10" t="str">
        <x:v>D009</x:v>
      </x:c>
      <x:c r="B13" s="10" t="str">
        <x:v>Row 2 nominal legroom</x:v>
      </x:c>
      <x:c r="C13" s="12" t="n">
        <x:v>36.6</x:v>
      </x:c>
      <x:c r="D13" s="12" t="str">
        <x:v>in</x:v>
      </x:c>
      <x:c r="E13" s="12" t="n">
        <x:f>IF(D13="mm",C13,IF(D13="in",C13*25.4,IF(D13="ft",C13*304.8,"")))</x:f>
        <x:v>929.64</x:v>
      </x:c>
      <x:c r="F13" s="12" t="n">
        <x:f>IF(E13="","",E13/25.4)</x:f>
        <x:v>36.6</x:v>
      </x:c>
      <x:c r="G13" s="10" t="str">
        <x:v>D</x:v>
      </x:c>
      <x:c r="H13" s="14" t="n">
        <x:v>1</x:v>
      </x:c>
      <x:c r="I13" s="10" t="str">
        <x:v>reference_claim</x:v>
      </x:c>
      <x:c r="J13" s="10" t="str">
        <x:v>Unspecified</x:v>
      </x:c>
      <x:c r="K13" s="10" t="str">
        <x:v>U01</x:v>
      </x:c>
      <x:c r="L13" s="10" t="str"/>
      <x:c r="M13" s="10" t="str">
        <x:v>Target 2023 R1S</x:v>
      </x:c>
      <x:c r="N13" s="10" t="str"/>
      <x:c r="O13" s="10" t="str">
        <x:v>No</x:v>
      </x:c>
      <x:c r="P13" s="10"/>
    </x:row>
    <x:row r="14" ht="34" customHeight="1">
      <x:c r="A14" s="11" t="str">
        <x:v>D010</x:v>
      </x:c>
      <x:c r="B14" s="11" t="str">
        <x:v>Row 3 hip room</x:v>
      </x:c>
      <x:c r="C14" s="13" t="n">
        <x:v>42.8</x:v>
      </x:c>
      <x:c r="D14" s="13" t="str">
        <x:v>in</x:v>
      </x:c>
      <x:c r="E14" s="13" t="n">
        <x:f>IF(D14="mm",C14,IF(D14="in",C14*25.4,IF(D14="ft",C14*304.8,"")))</x:f>
        <x:v>1087.12</x:v>
      </x:c>
      <x:c r="F14" s="13" t="n">
        <x:f>IF(E14="","",E14/25.4)</x:f>
        <x:v>42.8</x:v>
      </x:c>
      <x:c r="G14" s="11" t="str">
        <x:v>D</x:v>
      </x:c>
      <x:c r="H14" s="15" t="n">
        <x:v>1</x:v>
      </x:c>
      <x:c r="I14" s="11" t="str">
        <x:v>reference_claim</x:v>
      </x:c>
      <x:c r="J14" s="11" t="str">
        <x:v>Unspecified</x:v>
      </x:c>
      <x:c r="K14" s="11" t="str">
        <x:v>U01</x:v>
      </x:c>
      <x:c r="L14" s="11" t="str"/>
      <x:c r="M14" s="11" t="str">
        <x:v>Target 2023 R1S</x:v>
      </x:c>
      <x:c r="N14" s="11" t="str"/>
      <x:c r="O14" s="11" t="str">
        <x:v>No</x:v>
      </x:c>
      <x:c r="P14" s="11"/>
    </x:row>
    <x:row r="15" ht="34" customHeight="1">
      <x:c r="A15" s="10" t="str">
        <x:v>D011</x:v>
      </x:c>
      <x:c r="B15" s="10" t="str">
        <x:v>Row 3 shoulder room</x:v>
      </x:c>
      <x:c r="C15" s="12" t="n">
        <x:v>51.1</x:v>
      </x:c>
      <x:c r="D15" s="12" t="str">
        <x:v>in</x:v>
      </x:c>
      <x:c r="E15" s="12" t="n">
        <x:f>IF(D15="mm",C15,IF(D15="in",C15*25.4,IF(D15="ft",C15*304.8,"")))</x:f>
        <x:v>1297.94</x:v>
      </x:c>
      <x:c r="F15" s="12" t="n">
        <x:f>IF(E15="","",E15/25.4)</x:f>
        <x:v>51.10000000000001</x:v>
      </x:c>
      <x:c r="G15" s="10" t="str">
        <x:v>D</x:v>
      </x:c>
      <x:c r="H15" s="14" t="n">
        <x:v>1</x:v>
      </x:c>
      <x:c r="I15" s="10" t="str">
        <x:v>reference_claim</x:v>
      </x:c>
      <x:c r="J15" s="10" t="str">
        <x:v>Unspecified</x:v>
      </x:c>
      <x:c r="K15" s="10" t="str">
        <x:v>U01</x:v>
      </x:c>
      <x:c r="L15" s="10" t="str"/>
      <x:c r="M15" s="10" t="str">
        <x:v>Target 2023 R1S</x:v>
      </x:c>
      <x:c r="N15" s="10" t="str"/>
      <x:c r="O15" s="10" t="str">
        <x:v>No</x:v>
      </x:c>
      <x:c r="P15" s="10"/>
    </x:row>
    <x:row r="16" ht="34" customHeight="1">
      <x:c r="A16" s="11" t="str">
        <x:v>D012</x:v>
      </x:c>
      <x:c r="B16" s="11" t="str">
        <x:v>Row 3 headroom</x:v>
      </x:c>
      <x:c r="C16" s="13" t="n">
        <x:v>38.6</x:v>
      </x:c>
      <x:c r="D16" s="13" t="str">
        <x:v>in</x:v>
      </x:c>
      <x:c r="E16" s="13" t="n">
        <x:f>IF(D16="mm",C16,IF(D16="in",C16*25.4,IF(D16="ft",C16*304.8,"")))</x:f>
        <x:v>980.4399999999999</x:v>
      </x:c>
      <x:c r="F16" s="13" t="n">
        <x:f>IF(E16="","",E16/25.4)</x:f>
        <x:v>38.6</x:v>
      </x:c>
      <x:c r="G16" s="11" t="str">
        <x:v>D</x:v>
      </x:c>
      <x:c r="H16" s="15" t="n">
        <x:v>1</x:v>
      </x:c>
      <x:c r="I16" s="11" t="str">
        <x:v>reference_claim</x:v>
      </x:c>
      <x:c r="J16" s="11" t="str">
        <x:v>Unspecified</x:v>
      </x:c>
      <x:c r="K16" s="11" t="str">
        <x:v>U01</x:v>
      </x:c>
      <x:c r="L16" s="11" t="str"/>
      <x:c r="M16" s="11" t="str">
        <x:v>Target 2023 R1S</x:v>
      </x:c>
      <x:c r="N16" s="11" t="str"/>
      <x:c r="O16" s="11" t="str">
        <x:v>No</x:v>
      </x:c>
      <x:c r="P16" s="11"/>
    </x:row>
    <x:row r="17" ht="34" customHeight="1">
      <x:c r="A17" s="10" t="str">
        <x:v>D013</x:v>
      </x:c>
      <x:c r="B17" s="10" t="str">
        <x:v>Row 3 nominal legroom</x:v>
      </x:c>
      <x:c r="C17" s="12" t="n">
        <x:v>32.8</x:v>
      </x:c>
      <x:c r="D17" s="12" t="str">
        <x:v>in</x:v>
      </x:c>
      <x:c r="E17" s="12" t="n">
        <x:f>IF(D17="mm",C17,IF(D17="in",C17*25.4,IF(D17="ft",C17*304.8,"")))</x:f>
        <x:v>833.1199999999999</x:v>
      </x:c>
      <x:c r="F17" s="12" t="n">
        <x:f>IF(E17="","",E17/25.4)</x:f>
        <x:v>32.8</x:v>
      </x:c>
      <x:c r="G17" s="10" t="str">
        <x:v>D</x:v>
      </x:c>
      <x:c r="H17" s="14" t="n">
        <x:v>1</x:v>
      </x:c>
      <x:c r="I17" s="10" t="str">
        <x:v>reference_claim</x:v>
      </x:c>
      <x:c r="J17" s="10" t="str">
        <x:v>Unspecified</x:v>
      </x:c>
      <x:c r="K17" s="10" t="str">
        <x:v>U01</x:v>
      </x:c>
      <x:c r="L17" s="10" t="str"/>
      <x:c r="M17" s="10" t="str">
        <x:v>Target 2023 R1S</x:v>
      </x:c>
      <x:c r="N17" s="10" t="str"/>
      <x:c r="O17" s="10" t="str">
        <x:v>No</x:v>
      </x:c>
      <x:c r="P17" s="10"/>
    </x:row>
    <x:row r="18" ht="34" customHeight="1">
      <x:c r="A18" s="11" t="str">
        <x:v>D014</x:v>
      </x:c>
      <x:c r="B18" s="11" t="str">
        <x:v>Cargo length behind row 1</x:v>
      </x:c>
      <x:c r="C18" s="13" t="n">
        <x:v>84.7</x:v>
      </x:c>
      <x:c r="D18" s="13" t="str">
        <x:v>in</x:v>
      </x:c>
      <x:c r="E18" s="13" t="n">
        <x:f>IF(D18="mm",C18,IF(D18="in",C18*25.4,IF(D18="ft",C18*304.8,"")))</x:f>
        <x:v>2151.38</x:v>
      </x:c>
      <x:c r="F18" s="13" t="n">
        <x:f>IF(E18="","",E18/25.4)</x:f>
        <x:v>84.7</x:v>
      </x:c>
      <x:c r="G18" s="11" t="str">
        <x:v>D</x:v>
      </x:c>
      <x:c r="H18" s="15" t="n">
        <x:v>1</x:v>
      </x:c>
      <x:c r="I18" s="11" t="str">
        <x:v>reference_claim</x:v>
      </x:c>
      <x:c r="J18" s="11" t="str">
        <x:v>Unspecified</x:v>
      </x:c>
      <x:c r="K18" s="11" t="str">
        <x:v>U01</x:v>
      </x:c>
      <x:c r="L18" s="11" t="str"/>
      <x:c r="M18" s="11" t="str">
        <x:v>Target 2023 R1S</x:v>
      </x:c>
      <x:c r="N18" s="11" t="str"/>
      <x:c r="O18" s="11" t="str">
        <x:v>No</x:v>
      </x:c>
      <x:c r="P18" s="11"/>
    </x:row>
    <x:row r="19" ht="34" customHeight="1">
      <x:c r="A19" s="10" t="str">
        <x:v>D015</x:v>
      </x:c>
      <x:c r="B19" s="10" t="str">
        <x:v>Cargo length behind row 2</x:v>
      </x:c>
      <x:c r="C19" s="12" t="n">
        <x:v>57.8</x:v>
      </x:c>
      <x:c r="D19" s="12" t="str">
        <x:v>in</x:v>
      </x:c>
      <x:c r="E19" s="12" t="n">
        <x:f>IF(D19="mm",C19,IF(D19="in",C19*25.4,IF(D19="ft",C19*304.8,"")))</x:f>
        <x:v>1468.12</x:v>
      </x:c>
      <x:c r="F19" s="12" t="n">
        <x:f>IF(E19="","",E19/25.4)</x:f>
        <x:v>57.8</x:v>
      </x:c>
      <x:c r="G19" s="10" t="str">
        <x:v>D</x:v>
      </x:c>
      <x:c r="H19" s="14" t="n">
        <x:v>1</x:v>
      </x:c>
      <x:c r="I19" s="10" t="str">
        <x:v>reference_claim</x:v>
      </x:c>
      <x:c r="J19" s="10" t="str">
        <x:v>Unspecified</x:v>
      </x:c>
      <x:c r="K19" s="10" t="str">
        <x:v>U01</x:v>
      </x:c>
      <x:c r="L19" s="10" t="str"/>
      <x:c r="M19" s="10" t="str">
        <x:v>Target 2023 R1S</x:v>
      </x:c>
      <x:c r="N19" s="10" t="str"/>
      <x:c r="O19" s="10" t="str">
        <x:v>No</x:v>
      </x:c>
      <x:c r="P19" s="10"/>
    </x:row>
    <x:row r="20" ht="34" customHeight="1">
      <x:c r="A20" s="11" t="str">
        <x:v>D016</x:v>
      </x:c>
      <x:c r="B20" s="11" t="str">
        <x:v>Cargo length behind row 3 lower</x:v>
      </x:c>
      <x:c r="C20" s="13" t="n">
        <x:v>21</x:v>
      </x:c>
      <x:c r="D20" s="13" t="str">
        <x:v>in</x:v>
      </x:c>
      <x:c r="E20" s="13" t="n">
        <x:f>IF(D20="mm",C20,IF(D20="in",C20*25.4,IF(D20="ft",C20*304.8,"")))</x:f>
        <x:v>533.4</x:v>
      </x:c>
      <x:c r="F20" s="13" t="n">
        <x:f>IF(E20="","",E20/25.4)</x:f>
        <x:v>21</x:v>
      </x:c>
      <x:c r="G20" s="11" t="str">
        <x:v>D</x:v>
      </x:c>
      <x:c r="H20" s="15" t="n">
        <x:v>1</x:v>
      </x:c>
      <x:c r="I20" s="11" t="str">
        <x:v>reference_claim</x:v>
      </x:c>
      <x:c r="J20" s="11" t="str">
        <x:v>Unspecified</x:v>
      </x:c>
      <x:c r="K20" s="11" t="str">
        <x:v>U01</x:v>
      </x:c>
      <x:c r="L20" s="11" t="str"/>
      <x:c r="M20" s="11" t="str">
        <x:v>Target 2023 R1S</x:v>
      </x:c>
      <x:c r="N20" s="11" t="str"/>
      <x:c r="O20" s="11" t="str">
        <x:v>No</x:v>
      </x:c>
      <x:c r="P20" s="11"/>
    </x:row>
    <x:row r="21" ht="34" customHeight="1">
      <x:c r="A21" s="10" t="str">
        <x:v>D017</x:v>
      </x:c>
      <x:c r="B21" s="10" t="str">
        <x:v>Cargo length behind row 3 upper</x:v>
      </x:c>
      <x:c r="C21" s="12" t="n">
        <x:v>21.8</x:v>
      </x:c>
      <x:c r="D21" s="12" t="str">
        <x:v>in</x:v>
      </x:c>
      <x:c r="E21" s="12" t="n">
        <x:f>IF(D21="mm",C21,IF(D21="in",C21*25.4,IF(D21="ft",C21*304.8,"")))</x:f>
        <x:v>553.72</x:v>
      </x:c>
      <x:c r="F21" s="12" t="n">
        <x:f>IF(E21="","",E21/25.4)</x:f>
        <x:v>21.8</x:v>
      </x:c>
      <x:c r="G21" s="10" t="str">
        <x:v>D</x:v>
      </x:c>
      <x:c r="H21" s="14" t="n">
        <x:v>1</x:v>
      </x:c>
      <x:c r="I21" s="10" t="str">
        <x:v>reference_claim</x:v>
      </x:c>
      <x:c r="J21" s="10" t="str">
        <x:v>Unspecified</x:v>
      </x:c>
      <x:c r="K21" s="10" t="str">
        <x:v>U01</x:v>
      </x:c>
      <x:c r="L21" s="10" t="str"/>
      <x:c r="M21" s="10" t="str">
        <x:v>Target 2023 R1S</x:v>
      </x:c>
      <x:c r="N21" s="10" t="str"/>
      <x:c r="O21" s="10" t="str">
        <x:v>No</x:v>
      </x:c>
      <x:c r="P21" s="10"/>
    </x:row>
    <x:row r="22" ht="34" customHeight="1">
      <x:c r="A22" s="11" t="str">
        <x:v>D018</x:v>
      </x:c>
      <x:c r="B22" s="11" t="str">
        <x:v>Width between wheel housings claim</x:v>
      </x:c>
      <x:c r="C22" s="13" t="n">
        <x:v>51.1</x:v>
      </x:c>
      <x:c r="D22" s="13" t="str">
        <x:v>in</x:v>
      </x:c>
      <x:c r="E22" s="13" t="n">
        <x:f>IF(D22="mm",C22,IF(D22="in",C22*25.4,IF(D22="ft",C22*304.8,"")))</x:f>
        <x:v>1297.94</x:v>
      </x:c>
      <x:c r="F22" s="13" t="n">
        <x:f>IF(E22="","",E22/25.4)</x:f>
        <x:v>51.10000000000001</x:v>
      </x:c>
      <x:c r="G22" s="11" t="str">
        <x:v>D</x:v>
      </x:c>
      <x:c r="H22" s="15" t="n">
        <x:v>1</x:v>
      </x:c>
      <x:c r="I22" s="11" t="str">
        <x:v>reference_claim</x:v>
      </x:c>
      <x:c r="J22" s="11" t="str">
        <x:v>Unspecified</x:v>
      </x:c>
      <x:c r="K22" s="11" t="str">
        <x:v>U01</x:v>
      </x:c>
      <x:c r="L22" s="11" t="str"/>
      <x:c r="M22" s="11" t="str">
        <x:v>Target 2023 R1S</x:v>
      </x:c>
      <x:c r="N22" s="11" t="str"/>
      <x:c r="O22" s="11" t="str">
        <x:v>No</x:v>
      </x:c>
      <x:c r="P22" s="11"/>
    </x:row>
    <x:row r="23" ht="40" customHeight="1">
      <x:c r="A23" s="10" t="str">
        <x:v>D019</x:v>
      </x:c>
      <x:c r="B23" s="10" t="str">
        <x:v>Rear minimum-width photo claim</x:v>
      </x:c>
      <x:c r="C23" s="12" t="n">
        <x:v>42.5</x:v>
      </x:c>
      <x:c r="D23" s="12" t="str">
        <x:v>in</x:v>
      </x:c>
      <x:c r="E23" s="12" t="n">
        <x:f>IF(D23="mm",C23,IF(D23="in",C23*25.4,IF(D23="ft",C23*304.8,"")))</x:f>
        <x:v>1079.5</x:v>
      </x:c>
      <x:c r="F23" s="12" t="n">
        <x:f>IF(E23="","",E23/25.4)</x:f>
        <x:v>42.5</x:v>
      </x:c>
      <x:c r="G23" s="10" t="str">
        <x:v>D</x:v>
      </x:c>
      <x:c r="H23" s="14" t="n">
        <x:v>1</x:v>
      </x:c>
      <x:c r="I23" s="10" t="str">
        <x:v>reference_claim</x:v>
      </x:c>
      <x:c r="J23" s="10" t="str">
        <x:v>Unspecified</x:v>
      </x:c>
      <x:c r="K23" s="10" t="str">
        <x:v>U01</x:v>
      </x:c>
      <x:c r="L23" s="10" t="str"/>
      <x:c r="M23" s="10" t="str">
        <x:v>Target 2023 R1S</x:v>
      </x:c>
      <x:c r="N23" s="10" t="str">
        <x:v>Brief lead; endpoint/configuration must be established. No original measurement photo supplied.</x:v>
      </x:c>
      <x:c r="O23" s="10" t="str">
        <x:v>No</x:v>
      </x:c>
      <x:c r="P23" s="10"/>
    </x:row>
    <x:row r="24" ht="34" customHeight="1">
      <x:c r="A24" s="11" t="str">
        <x:v>D020</x:v>
      </x:c>
      <x:c r="B24" s="11" t="str">
        <x:v>Cargo height</x:v>
      </x:c>
      <x:c r="C24" s="13" t="n">
        <x:v>33.7</x:v>
      </x:c>
      <x:c r="D24" s="13" t="str">
        <x:v>in</x:v>
      </x:c>
      <x:c r="E24" s="13" t="n">
        <x:f>IF(D24="mm",C24,IF(D24="in",C24*25.4,IF(D24="ft",C24*304.8,"")))</x:f>
        <x:v>855.98</x:v>
      </x:c>
      <x:c r="F24" s="13" t="n">
        <x:f>IF(E24="","",E24/25.4)</x:f>
        <x:v>33.7</x:v>
      </x:c>
      <x:c r="G24" s="11" t="str">
        <x:v>D</x:v>
      </x:c>
      <x:c r="H24" s="15" t="n">
        <x:v>1</x:v>
      </x:c>
      <x:c r="I24" s="11" t="str">
        <x:v>reference_claim</x:v>
      </x:c>
      <x:c r="J24" s="11" t="str">
        <x:v>Unspecified</x:v>
      </x:c>
      <x:c r="K24" s="11" t="str">
        <x:v>U01</x:v>
      </x:c>
      <x:c r="L24" s="11" t="str"/>
      <x:c r="M24" s="11" t="str">
        <x:v>Target 2023 R1S</x:v>
      </x:c>
      <x:c r="N24" s="11" t="str"/>
      <x:c r="O24" s="11" t="str">
        <x:v>No</x:v>
      </x:c>
      <x:c r="P24" s="11"/>
    </x:row>
    <x:row r="25" ht="34" customHeight="1">
      <x:c r="A25" s="10" t="str">
        <x:v>D021</x:v>
      </x:c>
      <x:c r="B25" s="10" t="str">
        <x:v>Overall length</x:v>
      </x:c>
      <x:c r="C25" s="12" t="n">
        <x:v>200.8</x:v>
      </x:c>
      <x:c r="D25" s="12" t="str">
        <x:v>in</x:v>
      </x:c>
      <x:c r="E25" s="12" t="n">
        <x:f>IF(D25="mm",C25,IF(D25="in",C25*25.4,IF(D25="ft",C25*304.8,"")))</x:f>
        <x:v>5100.32</x:v>
      </x:c>
      <x:c r="F25" s="12" t="n">
        <x:f>IF(E25="","",E25/25.4)</x:f>
        <x:v>200.8</x:v>
      </x:c>
      <x:c r="G25" s="10" t="str">
        <x:v>A</x:v>
      </x:c>
      <x:c r="H25" s="14" t="n">
        <x:v>5</x:v>
      </x:c>
      <x:c r="I25" s="10" t="str">
        <x:v>OEM_spec</x:v>
      </x:c>
      <x:c r="J25" s="10" t="str">
        <x:v>Unspecified</x:v>
      </x:c>
      <x:c r="K25" s="10" t="str">
        <x:v>S01</x:v>
      </x:c>
      <x:c r="L25" s="10" t="str">
        <x:v>https://rivian.com/stories/sizing-up-the-r1s</x:v>
      </x:c>
      <x:c r="M25" s="10" t="str">
        <x:v>Launch-era R1S; 2022 publication</x:v>
      </x:c>
      <x:c r="N25" s="10" t="str"/>
      <x:c r="O25" s="10" t="str">
        <x:v>No</x:v>
      </x:c>
      <x:c r="P25" s="10"/>
    </x:row>
    <x:row r="26" ht="34" customHeight="1">
      <x:c r="A26" s="11" t="str">
        <x:v>D022</x:v>
      </x:c>
      <x:c r="B26" s="11" t="str">
        <x:v>Exterior width, mirrors folded</x:v>
      </x:c>
      <x:c r="C26" s="13" t="n">
        <x:v>81.8</x:v>
      </x:c>
      <x:c r="D26" s="13" t="str">
        <x:v>in</x:v>
      </x:c>
      <x:c r="E26" s="13" t="n">
        <x:f>IF(D26="mm",C26,IF(D26="in",C26*25.4,IF(D26="ft",C26*304.8,"")))</x:f>
        <x:v>2077.72</x:v>
      </x:c>
      <x:c r="F26" s="13" t="n">
        <x:f>IF(E26="","",E26/25.4)</x:f>
        <x:v>81.8</x:v>
      </x:c>
      <x:c r="G26" s="11" t="str">
        <x:v>A</x:v>
      </x:c>
      <x:c r="H26" s="15" t="n">
        <x:v>5</x:v>
      </x:c>
      <x:c r="I26" s="11" t="str">
        <x:v>OEM_spec</x:v>
      </x:c>
      <x:c r="J26" s="11" t="str">
        <x:v>Mirrors folded</x:v>
      </x:c>
      <x:c r="K26" s="11" t="str">
        <x:v>S01</x:v>
      </x:c>
      <x:c r="L26" s="11" t="str">
        <x:v>https://rivian.com/stories/sizing-up-the-r1s</x:v>
      </x:c>
      <x:c r="M26" s="11" t="str">
        <x:v>Launch-era R1S; 2022 publication</x:v>
      </x:c>
      <x:c r="N26" s="11" t="str"/>
      <x:c r="O26" s="11" t="str">
        <x:v>No</x:v>
      </x:c>
      <x:c r="P26" s="11"/>
    </x:row>
    <x:row r="27" ht="34" customHeight="1">
      <x:c r="A27" s="10" t="str">
        <x:v>D023</x:v>
      </x:c>
      <x:c r="B27" s="10" t="str">
        <x:v>Cargo volume behind row 3</x:v>
      </x:c>
      <x:c r="C27" s="12" t="n">
        <x:v>17.6</x:v>
      </x:c>
      <x:c r="D27" s="12" t="str">
        <x:v>ft3</x:v>
      </x:c>
      <x:c r="E27" s="12" t="str">
        <x:f>IF(D27="mm",C27,IF(D27="in",C27*25.4,IF(D27="ft",C27*304.8,"")))</x:f>
      </x:c>
      <x:c r="F27" s="12" t="str">
        <x:f>IF(E27="","",E27/25.4)</x:f>
      </x:c>
      <x:c r="G27" s="10" t="str">
        <x:v>A</x:v>
      </x:c>
      <x:c r="H27" s="14" t="n">
        <x:v>5</x:v>
      </x:c>
      <x:c r="I27" s="10" t="str">
        <x:v>OEM_volume</x:v>
      </x:c>
      <x:c r="J27" s="10" t="str">
        <x:v>Row 3 upright</x:v>
      </x:c>
      <x:c r="K27" s="10" t="str">
        <x:v>S01</x:v>
      </x:c>
      <x:c r="L27" s="10" t="str">
        <x:v>https://rivian.com/stories/sizing-up-the-r1s</x:v>
      </x:c>
      <x:c r="M27" s="10" t="str">
        <x:v>Launch-era R1S; 2022 publication</x:v>
      </x:c>
      <x:c r="N27" s="10" t="str"/>
      <x:c r="O27" s="10" t="str">
        <x:v>No</x:v>
      </x:c>
      <x:c r="P27" s="10"/>
    </x:row>
    <x:row r="28" ht="40" customHeight="1">
      <x:c r="A28" s="11" t="str">
        <x:v>D024</x:v>
      </x:c>
      <x:c r="B28" s="11" t="str">
        <x:v>Wheelbase</x:v>
      </x:c>
      <x:c r="C28" s="13" t="n">
        <x:v>121.1</x:v>
      </x:c>
      <x:c r="D28" s="13" t="str">
        <x:v>in</x:v>
      </x:c>
      <x:c r="E28" s="13" t="n">
        <x:f>IF(D28="mm",C28,IF(D28="in",C28*25.4,IF(D28="ft",C28*304.8,"")))</x:f>
        <x:v>3075.9399999999996</x:v>
      </x:c>
      <x:c r="F28" s="13" t="n">
        <x:f>IF(E28="","",E28/25.4)</x:f>
        <x:v>121.1</x:v>
      </x:c>
      <x:c r="G28" s="11" t="str">
        <x:v>A</x:v>
      </x:c>
      <x:c r="H28" s="15" t="n">
        <x:v>5</x:v>
      </x:c>
      <x:c r="I28" s="11" t="str">
        <x:v>OEM_spec</x:v>
      </x:c>
      <x:c r="J28" s="11" t="str">
        <x:v>Current model</x:v>
      </x:c>
      <x:c r="K28" s="11" t="str">
        <x:v>S02</x:v>
      </x:c>
      <x:c r="L28" s="11" t="str">
        <x:v>https://rivian.com/en-US/compare?a=r1t-quad-launch&amp;b=r1t-tri&amp;c=r1t-dual</x:v>
      </x:c>
      <x:c r="M28" s="11" t="str">
        <x:v>Current comparison; R1S column, not MY2023 certification</x:v>
      </x:c>
      <x:c r="N28" s="11" t="str">
        <x:v>Current-model reference; not confirmed for target MY2023.</x:v>
      </x:c>
      <x:c r="O28" s="11" t="str">
        <x:v>No</x:v>
      </x:c>
      <x:c r="P28" s="11"/>
    </x:row>
    <x:row r="29" ht="40" customHeight="1">
      <x:c r="A29" s="10" t="str">
        <x:v>D025</x:v>
      </x:c>
      <x:c r="B29" s="10" t="str">
        <x:v>Exterior width, mirrors folded</x:v>
      </x:c>
      <x:c r="C29" s="12" t="n">
        <x:v>82</x:v>
      </x:c>
      <x:c r="D29" s="12" t="str">
        <x:v>in</x:v>
      </x:c>
      <x:c r="E29" s="12" t="n">
        <x:f>IF(D29="mm",C29,IF(D29="in",C29*25.4,IF(D29="ft",C29*304.8,"")))</x:f>
        <x:v>2082.7999999999997</x:v>
      </x:c>
      <x:c r="F29" s="12" t="n">
        <x:f>IF(E29="","",E29/25.4)</x:f>
        <x:v>82</x:v>
      </x:c>
      <x:c r="G29" s="10" t="str">
        <x:v>A</x:v>
      </x:c>
      <x:c r="H29" s="14" t="n">
        <x:v>5</x:v>
      </x:c>
      <x:c r="I29" s="10" t="str">
        <x:v>OEM_spec</x:v>
      </x:c>
      <x:c r="J29" s="10" t="str">
        <x:v>Mirrors folded</x:v>
      </x:c>
      <x:c r="K29" s="10" t="str">
        <x:v>S02</x:v>
      </x:c>
      <x:c r="L29" s="10" t="str">
        <x:v>https://rivian.com/en-US/compare?a=r1t-quad-launch&amp;b=r1t-tri&amp;c=r1t-dual</x:v>
      </x:c>
      <x:c r="M29" s="10" t="str">
        <x:v>Current comparison; R1S column, not MY2023 certification</x:v>
      </x:c>
      <x:c r="N29" s="10" t="str">
        <x:v>Current-model reference; not confirmed for target MY2023.</x:v>
      </x:c>
      <x:c r="O29" s="10" t="str">
        <x:v>No</x:v>
      </x:c>
      <x:c r="P29" s="10"/>
    </x:row>
    <x:row r="30" ht="40" customHeight="1">
      <x:c r="A30" s="11" t="str">
        <x:v>D026</x:v>
      </x:c>
      <x:c r="B30" s="11" t="str">
        <x:v>Exterior width, mirrors extended</x:v>
      </x:c>
      <x:c r="C30" s="13" t="n">
        <x:v>88.4</x:v>
      </x:c>
      <x:c r="D30" s="13" t="str">
        <x:v>in</x:v>
      </x:c>
      <x:c r="E30" s="13" t="n">
        <x:f>IF(D30="mm",C30,IF(D30="in",C30*25.4,IF(D30="ft",C30*304.8,"")))</x:f>
        <x:v>2245.36</x:v>
      </x:c>
      <x:c r="F30" s="13" t="n">
        <x:f>IF(E30="","",E30/25.4)</x:f>
        <x:v>88.4</x:v>
      </x:c>
      <x:c r="G30" s="11" t="str">
        <x:v>A</x:v>
      </x:c>
      <x:c r="H30" s="15" t="n">
        <x:v>5</x:v>
      </x:c>
      <x:c r="I30" s="11" t="str">
        <x:v>OEM_spec</x:v>
      </x:c>
      <x:c r="J30" s="11" t="str">
        <x:v>Mirrors extended</x:v>
      </x:c>
      <x:c r="K30" s="11" t="str">
        <x:v>S02</x:v>
      </x:c>
      <x:c r="L30" s="11" t="str">
        <x:v>https://rivian.com/en-US/compare?a=r1t-quad-launch&amp;b=r1t-tri&amp;c=r1t-dual</x:v>
      </x:c>
      <x:c r="M30" s="11" t="str">
        <x:v>Current comparison; R1S column, not MY2023 certification</x:v>
      </x:c>
      <x:c r="N30" s="11" t="str">
        <x:v>Current-model reference; not confirmed for target MY2023.</x:v>
      </x:c>
      <x:c r="O30" s="11" t="str">
        <x:v>No</x:v>
      </x:c>
      <x:c r="P30" s="11"/>
    </x:row>
    <x:row r="31" ht="40" customHeight="1">
      <x:c r="A31" s="10" t="str">
        <x:v>D027</x:v>
      </x:c>
      <x:c r="B31" s="10" t="str">
        <x:v>Maximum exterior height</x:v>
      </x:c>
      <x:c r="C31" s="12" t="n">
        <x:v>77.3</x:v>
      </x:c>
      <x:c r="D31" s="12" t="str">
        <x:v>in</x:v>
      </x:c>
      <x:c r="E31" s="12" t="n">
        <x:f>IF(D31="mm",C31,IF(D31="in",C31*25.4,IF(D31="ft",C31*304.8,"")))</x:f>
        <x:v>1963.4199999999998</x:v>
      </x:c>
      <x:c r="F31" s="12" t="n">
        <x:f>IF(E31="","",E31/25.4)</x:f>
        <x:v>77.3</x:v>
      </x:c>
      <x:c r="G31" s="10" t="str">
        <x:v>A</x:v>
      </x:c>
      <x:c r="H31" s="14" t="n">
        <x:v>5</x:v>
      </x:c>
      <x:c r="I31" s="10" t="str">
        <x:v>OEM_spec</x:v>
      </x:c>
      <x:c r="J31" s="10" t="str">
        <x:v>Maximum height</x:v>
      </x:c>
      <x:c r="K31" s="10" t="str">
        <x:v>S02</x:v>
      </x:c>
      <x:c r="L31" s="10" t="str">
        <x:v>https://rivian.com/en-US/compare?a=r1t-quad-launch&amp;b=r1t-tri&amp;c=r1t-dual</x:v>
      </x:c>
      <x:c r="M31" s="10" t="str">
        <x:v>Current comparison; R1S column, not MY2023 certification</x:v>
      </x:c>
      <x:c r="N31" s="10" t="str">
        <x:v>Current-model reference; not confirmed for target MY2023.</x:v>
      </x:c>
      <x:c r="O31" s="10" t="str">
        <x:v>No</x:v>
      </x:c>
      <x:c r="P31" s="10"/>
    </x:row>
    <x:row r="32" ht="40" customHeight="1">
      <x:c r="A32" s="11" t="str">
        <x:v>D028</x:v>
      </x:c>
      <x:c r="B32" s="11" t="str">
        <x:v>Minimum exterior height</x:v>
      </x:c>
      <x:c r="C32" s="13" t="n">
        <x:v>71.8</x:v>
      </x:c>
      <x:c r="D32" s="13" t="str">
        <x:v>in</x:v>
      </x:c>
      <x:c r="E32" s="13" t="n">
        <x:f>IF(D32="mm",C32,IF(D32="in",C32*25.4,IF(D32="ft",C32*304.8,"")))</x:f>
        <x:v>1823.7199999999998</x:v>
      </x:c>
      <x:c r="F32" s="13" t="n">
        <x:f>IF(E32="","",E32/25.4)</x:f>
        <x:v>71.8</x:v>
      </x:c>
      <x:c r="G32" s="11" t="str">
        <x:v>A</x:v>
      </x:c>
      <x:c r="H32" s="15" t="n">
        <x:v>5</x:v>
      </x:c>
      <x:c r="I32" s="11" t="str">
        <x:v>OEM_spec</x:v>
      </x:c>
      <x:c r="J32" s="11" t="str">
        <x:v>Minimum height</x:v>
      </x:c>
      <x:c r="K32" s="11" t="str">
        <x:v>S02</x:v>
      </x:c>
      <x:c r="L32" s="11" t="str">
        <x:v>https://rivian.com/en-US/compare?a=r1t-quad-launch&amp;b=r1t-tri&amp;c=r1t-dual</x:v>
      </x:c>
      <x:c r="M32" s="11" t="str">
        <x:v>Current comparison; R1S column, not MY2023 certification</x:v>
      </x:c>
      <x:c r="N32" s="11" t="str">
        <x:v>Current-model reference; not confirmed for target MY2023.</x:v>
      </x:c>
      <x:c r="O32" s="11" t="str">
        <x:v>No</x:v>
      </x:c>
      <x:c r="P32" s="11"/>
    </x:row>
    <x:row r="33" ht="40" customHeight="1">
      <x:c r="A33" s="10" t="str">
        <x:v>D029</x:v>
      </x:c>
      <x:c r="B33" s="10" t="str">
        <x:v>Cargo length behind row 3</x:v>
      </x:c>
      <x:c r="C33" s="12" t="n">
        <x:v>553</x:v>
      </x:c>
      <x:c r="D33" s="12" t="str">
        <x:v>mm</x:v>
      </x:c>
      <x:c r="E33" s="12" t="n">
        <x:f>IF(D33="mm",C33,IF(D33="in",C33*25.4,IF(D33="ft",C33*304.8,"")))</x:f>
        <x:v>553</x:v>
      </x:c>
      <x:c r="F33" s="12" t="n">
        <x:f>IF(E33="","",E33/25.4)</x:f>
        <x:v>21.77165354330709</x:v>
      </x:c>
      <x:c r="G33" s="10" t="str">
        <x:v>D</x:v>
      </x:c>
      <x:c r="H33" s="14" t="n">
        <x:v>1</x:v>
      </x:c>
      <x:c r="I33" s="10" t="str">
        <x:v>relayed_OEM</x:v>
      </x:c>
      <x:c r="J33" s="10" t="str">
        <x:v>Unspecified</x:v>
      </x:c>
      <x:c r="K33" s="10" t="str">
        <x:v>S03</x:v>
      </x:c>
      <x:c r="L33" s="10" t="str">
        <x:v>https://www.reddit.com/r/Rivian/comments/vssjer/r1s_interieor_dimensions/</x:v>
      </x:c>
      <x:c r="M33" s="10" t="str">
        <x:v>2022 support-email relay</x:v>
      </x:c>
      <x:c r="N33" s="10" t="str"/>
      <x:c r="O33" s="10" t="str">
        <x:v>No</x:v>
      </x:c>
      <x:c r="P33" s="10"/>
    </x:row>
    <x:row r="34" ht="40" customHeight="1">
      <x:c r="A34" s="11" t="str">
        <x:v>D030</x:v>
      </x:c>
      <x:c r="B34" s="11" t="str">
        <x:v>Cargo maximum length behind row 2</x:v>
      </x:c>
      <x:c r="C34" s="13" t="n">
        <x:v>1315</x:v>
      </x:c>
      <x:c r="D34" s="13" t="str">
        <x:v>mm</x:v>
      </x:c>
      <x:c r="E34" s="13" t="n">
        <x:f>IF(D34="mm",C34,IF(D34="in",C34*25.4,IF(D34="ft",C34*304.8,"")))</x:f>
        <x:v>1315</x:v>
      </x:c>
      <x:c r="F34" s="13" t="n">
        <x:f>IF(E34="","",E34/25.4)</x:f>
        <x:v>51.77165354330709</x:v>
      </x:c>
      <x:c r="G34" s="11" t="str">
        <x:v>D</x:v>
      </x:c>
      <x:c r="H34" s="15" t="n">
        <x:v>1</x:v>
      </x:c>
      <x:c r="I34" s="11" t="str">
        <x:v>relayed_OEM</x:v>
      </x:c>
      <x:c r="J34" s="11" t="str">
        <x:v>Unspecified</x:v>
      </x:c>
      <x:c r="K34" s="11" t="str">
        <x:v>S03</x:v>
      </x:c>
      <x:c r="L34" s="11" t="str">
        <x:v>https://www.reddit.com/r/Rivian/comments/vssjer/r1s_interieor_dimensions/</x:v>
      </x:c>
      <x:c r="M34" s="11" t="str">
        <x:v>2022 support-email relay</x:v>
      </x:c>
      <x:c r="N34" s="11" t="str"/>
      <x:c r="O34" s="11" t="str">
        <x:v>No</x:v>
      </x:c>
      <x:c r="P34" s="11"/>
    </x:row>
    <x:row r="35" ht="40" customHeight="1">
      <x:c r="A35" s="10" t="str">
        <x:v>D031</x:v>
      </x:c>
      <x:c r="B35" s="10" t="str">
        <x:v>Cargo maximum length behind row 1</x:v>
      </x:c>
      <x:c r="C35" s="12" t="n">
        <x:v>2152</x:v>
      </x:c>
      <x:c r="D35" s="12" t="str">
        <x:v>mm</x:v>
      </x:c>
      <x:c r="E35" s="12" t="n">
        <x:f>IF(D35="mm",C35,IF(D35="in",C35*25.4,IF(D35="ft",C35*304.8,"")))</x:f>
        <x:v>2152</x:v>
      </x:c>
      <x:c r="F35" s="12" t="n">
        <x:f>IF(E35="","",E35/25.4)</x:f>
        <x:v>84.7244094488189</x:v>
      </x:c>
      <x:c r="G35" s="10" t="str">
        <x:v>D</x:v>
      </x:c>
      <x:c r="H35" s="14" t="n">
        <x:v>1</x:v>
      </x:c>
      <x:c r="I35" s="10" t="str">
        <x:v>relayed_OEM</x:v>
      </x:c>
      <x:c r="J35" s="10" t="str">
        <x:v>Unspecified</x:v>
      </x:c>
      <x:c r="K35" s="10" t="str">
        <x:v>S03</x:v>
      </x:c>
      <x:c r="L35" s="10" t="str">
        <x:v>https://www.reddit.com/r/Rivian/comments/vssjer/r1s_interieor_dimensions/</x:v>
      </x:c>
      <x:c r="M35" s="10" t="str">
        <x:v>2022 support-email relay</x:v>
      </x:c>
      <x:c r="N35" s="10" t="str"/>
      <x:c r="O35" s="10" t="str">
        <x:v>No</x:v>
      </x:c>
      <x:c r="P35" s="10"/>
    </x:row>
    <x:row r="36" ht="40" customHeight="1">
      <x:c r="A36" s="11" t="str">
        <x:v>D032</x:v>
      </x:c>
      <x:c r="B36" s="11" t="str">
        <x:v>Cargo maximum width behind row 3</x:v>
      </x:c>
      <x:c r="C36" s="13" t="n">
        <x:v>1298</x:v>
      </x:c>
      <x:c r="D36" s="13" t="str">
        <x:v>mm</x:v>
      </x:c>
      <x:c r="E36" s="13" t="n">
        <x:f>IF(D36="mm",C36,IF(D36="in",C36*25.4,IF(D36="ft",C36*304.8,"")))</x:f>
        <x:v>1298</x:v>
      </x:c>
      <x:c r="F36" s="13" t="n">
        <x:f>IF(E36="","",E36/25.4)</x:f>
        <x:v>51.102362204724415</x:v>
      </x:c>
      <x:c r="G36" s="11" t="str">
        <x:v>D</x:v>
      </x:c>
      <x:c r="H36" s="15" t="n">
        <x:v>1</x:v>
      </x:c>
      <x:c r="I36" s="11" t="str">
        <x:v>relayed_OEM</x:v>
      </x:c>
      <x:c r="J36" s="11" t="str">
        <x:v>Unspecified</x:v>
      </x:c>
      <x:c r="K36" s="11" t="str">
        <x:v>S03</x:v>
      </x:c>
      <x:c r="L36" s="11" t="str">
        <x:v>https://www.reddit.com/r/Rivian/comments/vssjer/r1s_interieor_dimensions/</x:v>
      </x:c>
      <x:c r="M36" s="11" t="str">
        <x:v>2022 support-email relay</x:v>
      </x:c>
      <x:c r="N36" s="11" t="str"/>
      <x:c r="O36" s="11" t="str">
        <x:v>No</x:v>
      </x:c>
      <x:c r="P36" s="11"/>
    </x:row>
    <x:row r="37" ht="40" customHeight="1">
      <x:c r="A37" s="10" t="str">
        <x:v>D033</x:v>
      </x:c>
      <x:c r="B37" s="10" t="str">
        <x:v>Cargo maximum width behind row 2</x:v>
      </x:c>
      <x:c r="C37" s="12" t="n">
        <x:v>1298</x:v>
      </x:c>
      <x:c r="D37" s="12" t="str">
        <x:v>mm</x:v>
      </x:c>
      <x:c r="E37" s="12" t="n">
        <x:f>IF(D37="mm",C37,IF(D37="in",C37*25.4,IF(D37="ft",C37*304.8,"")))</x:f>
        <x:v>1298</x:v>
      </x:c>
      <x:c r="F37" s="12" t="n">
        <x:f>IF(E37="","",E37/25.4)</x:f>
        <x:v>51.102362204724415</x:v>
      </x:c>
      <x:c r="G37" s="10" t="str">
        <x:v>D</x:v>
      </x:c>
      <x:c r="H37" s="14" t="n">
        <x:v>1</x:v>
      </x:c>
      <x:c r="I37" s="10" t="str">
        <x:v>relayed_OEM</x:v>
      </x:c>
      <x:c r="J37" s="10" t="str">
        <x:v>Unspecified</x:v>
      </x:c>
      <x:c r="K37" s="10" t="str">
        <x:v>S03</x:v>
      </x:c>
      <x:c r="L37" s="10" t="str">
        <x:v>https://www.reddit.com/r/Rivian/comments/vssjer/r1s_interieor_dimensions/</x:v>
      </x:c>
      <x:c r="M37" s="10" t="str">
        <x:v>2022 support-email relay</x:v>
      </x:c>
      <x:c r="N37" s="10" t="str"/>
      <x:c r="O37" s="10" t="str">
        <x:v>No</x:v>
      </x:c>
      <x:c r="P37" s="10"/>
    </x:row>
    <x:row r="38" ht="40" customHeight="1">
      <x:c r="A38" s="11" t="str">
        <x:v>D034</x:v>
      </x:c>
      <x:c r="B38" s="11" t="str">
        <x:v>Cargo maximum width behind row 1</x:v>
      </x:c>
      <x:c r="C38" s="13" t="n">
        <x:v>1496</x:v>
      </x:c>
      <x:c r="D38" s="13" t="str">
        <x:v>mm</x:v>
      </x:c>
      <x:c r="E38" s="13" t="n">
        <x:f>IF(D38="mm",C38,IF(D38="in",C38*25.4,IF(D38="ft",C38*304.8,"")))</x:f>
        <x:v>1496</x:v>
      </x:c>
      <x:c r="F38" s="13" t="n">
        <x:f>IF(E38="","",E38/25.4)</x:f>
        <x:v>58.89763779527559</x:v>
      </x:c>
      <x:c r="G38" s="11" t="str">
        <x:v>D</x:v>
      </x:c>
      <x:c r="H38" s="15" t="n">
        <x:v>1</x:v>
      </x:c>
      <x:c r="I38" s="11" t="str">
        <x:v>relayed_OEM</x:v>
      </x:c>
      <x:c r="J38" s="11" t="str">
        <x:v>Unspecified</x:v>
      </x:c>
      <x:c r="K38" s="11" t="str">
        <x:v>S03</x:v>
      </x:c>
      <x:c r="L38" s="11" t="str">
        <x:v>https://www.reddit.com/r/Rivian/comments/vssjer/r1s_interieor_dimensions/</x:v>
      </x:c>
      <x:c r="M38" s="11" t="str">
        <x:v>2022 support-email relay</x:v>
      </x:c>
      <x:c r="N38" s="11" t="str"/>
      <x:c r="O38" s="11" t="str">
        <x:v>No</x:v>
      </x:c>
      <x:c r="P38" s="11"/>
    </x:row>
    <x:row r="39" ht="40" customHeight="1">
      <x:c r="A39" s="10" t="str">
        <x:v>D035</x:v>
      </x:c>
      <x:c r="B39" s="10" t="str">
        <x:v>Cargo minimum width</x:v>
      </x:c>
      <x:c r="C39" s="12" t="n">
        <x:v>1084</x:v>
      </x:c>
      <x:c r="D39" s="12" t="str">
        <x:v>mm</x:v>
      </x:c>
      <x:c r="E39" s="12" t="n">
        <x:f>IF(D39="mm",C39,IF(D39="in",C39*25.4,IF(D39="ft",C39*304.8,"")))</x:f>
        <x:v>1084</x:v>
      </x:c>
      <x:c r="F39" s="12" t="n">
        <x:f>IF(E39="","",E39/25.4)</x:f>
        <x:v>42.67716535433071</x:v>
      </x:c>
      <x:c r="G39" s="10" t="str">
        <x:v>D</x:v>
      </x:c>
      <x:c r="H39" s="14" t="n">
        <x:v>1</x:v>
      </x:c>
      <x:c r="I39" s="10" t="str">
        <x:v>relayed_OEM</x:v>
      </x:c>
      <x:c r="J39" s="10" t="str">
        <x:v>Unspecified</x:v>
      </x:c>
      <x:c r="K39" s="10" t="str">
        <x:v>S03</x:v>
      </x:c>
      <x:c r="L39" s="10" t="str">
        <x:v>https://www.reddit.com/r/Rivian/comments/vssjer/r1s_interieor_dimensions/</x:v>
      </x:c>
      <x:c r="M39" s="10" t="str">
        <x:v>2022 support-email relay</x:v>
      </x:c>
      <x:c r="N39" s="10" t="str"/>
      <x:c r="O39" s="10" t="str">
        <x:v>No</x:v>
      </x:c>
      <x:c r="P39" s="10"/>
    </x:row>
    <x:row r="40" ht="40" customHeight="1">
      <x:c r="A40" s="11" t="str">
        <x:v>D036</x:v>
      </x:c>
      <x:c r="B40" s="11" t="str">
        <x:v>Cargo height</x:v>
      </x:c>
      <x:c r="C40" s="13" t="n">
        <x:v>855</x:v>
      </x:c>
      <x:c r="D40" s="13" t="str">
        <x:v>mm</x:v>
      </x:c>
      <x:c r="E40" s="13" t="n">
        <x:f>IF(D40="mm",C40,IF(D40="in",C40*25.4,IF(D40="ft",C40*304.8,"")))</x:f>
        <x:v>855</x:v>
      </x:c>
      <x:c r="F40" s="13" t="n">
        <x:f>IF(E40="","",E40/25.4)</x:f>
        <x:v>33.661417322834644</x:v>
      </x:c>
      <x:c r="G40" s="11" t="str">
        <x:v>D</x:v>
      </x:c>
      <x:c r="H40" s="15" t="n">
        <x:v>1</x:v>
      </x:c>
      <x:c r="I40" s="11" t="str">
        <x:v>relayed_OEM</x:v>
      </x:c>
      <x:c r="J40" s="11" t="str">
        <x:v>Unspecified</x:v>
      </x:c>
      <x:c r="K40" s="11" t="str">
        <x:v>S03</x:v>
      </x:c>
      <x:c r="L40" s="11" t="str">
        <x:v>https://www.reddit.com/r/Rivian/comments/vssjer/r1s_interieor_dimensions/</x:v>
      </x:c>
      <x:c r="M40" s="11" t="str">
        <x:v>2022 support-email relay</x:v>
      </x:c>
      <x:c r="N40" s="11" t="str"/>
      <x:c r="O40" s="11" t="str">
        <x:v>No</x:v>
      </x:c>
      <x:c r="P40" s="11"/>
    </x:row>
    <x:row r="41" ht="40" customHeight="1">
      <x:c r="A41" s="10" t="str">
        <x:v>D037</x:v>
      </x:c>
      <x:c r="B41" s="10" t="str">
        <x:v>Cargo volume behind row 3</x:v>
      </x:c>
      <x:c r="C41" s="12" t="n">
        <x:v>499</x:v>
      </x:c>
      <x:c r="D41" s="12" t="str">
        <x:v>L</x:v>
      </x:c>
      <x:c r="E41" s="12" t="str">
        <x:f>IF(D41="mm",C41,IF(D41="in",C41*25.4,IF(D41="ft",C41*304.8,"")))</x:f>
      </x:c>
      <x:c r="F41" s="12" t="str">
        <x:f>IF(E41="","",E41/25.4)</x:f>
      </x:c>
      <x:c r="G41" s="10" t="str">
        <x:v>D</x:v>
      </x:c>
      <x:c r="H41" s="14" t="n">
        <x:v>1</x:v>
      </x:c>
      <x:c r="I41" s="10" t="str">
        <x:v>relayed_OEM_volume</x:v>
      </x:c>
      <x:c r="J41" s="10" t="str">
        <x:v>Unspecified</x:v>
      </x:c>
      <x:c r="K41" s="10" t="str">
        <x:v>S03</x:v>
      </x:c>
      <x:c r="L41" s="10" t="str">
        <x:v>https://www.reddit.com/r/Rivian/comments/vssjer/r1s_interieor_dimensions/</x:v>
      </x:c>
      <x:c r="M41" s="10" t="str">
        <x:v>2022 support-email relay</x:v>
      </x:c>
      <x:c r="N41" s="10" t="str"/>
      <x:c r="O41" s="10" t="str">
        <x:v>No</x:v>
      </x:c>
      <x:c r="P41" s="10"/>
    </x:row>
    <x:row r="42" ht="40" customHeight="1">
      <x:c r="A42" s="11" t="str">
        <x:v>D038</x:v>
      </x:c>
      <x:c r="B42" s="11" t="str">
        <x:v>Cargo volume behind row 2</x:v>
      </x:c>
      <x:c r="C42" s="13" t="n">
        <x:v>1323</x:v>
      </x:c>
      <x:c r="D42" s="13" t="str">
        <x:v>L</x:v>
      </x:c>
      <x:c r="E42" s="13" t="str">
        <x:f>IF(D42="mm",C42,IF(D42="in",C42*25.4,IF(D42="ft",C42*304.8,"")))</x:f>
      </x:c>
      <x:c r="F42" s="13" t="str">
        <x:f>IF(E42="","",E42/25.4)</x:f>
      </x:c>
      <x:c r="G42" s="11" t="str">
        <x:v>D</x:v>
      </x:c>
      <x:c r="H42" s="15" t="n">
        <x:v>1</x:v>
      </x:c>
      <x:c r="I42" s="11" t="str">
        <x:v>relayed_OEM_volume</x:v>
      </x:c>
      <x:c r="J42" s="11" t="str">
        <x:v>Unspecified</x:v>
      </x:c>
      <x:c r="K42" s="11" t="str">
        <x:v>S03</x:v>
      </x:c>
      <x:c r="L42" s="11" t="str">
        <x:v>https://www.reddit.com/r/Rivian/comments/vssjer/r1s_interieor_dimensions/</x:v>
      </x:c>
      <x:c r="M42" s="11" t="str">
        <x:v>2022 support-email relay</x:v>
      </x:c>
      <x:c r="N42" s="11" t="str"/>
      <x:c r="O42" s="11" t="str">
        <x:v>No</x:v>
      </x:c>
      <x:c r="P42" s="11"/>
    </x:row>
    <x:row r="43" ht="40" customHeight="1">
      <x:c r="A43" s="10" t="str">
        <x:v>D039</x:v>
      </x:c>
      <x:c r="B43" s="10" t="str">
        <x:v>Cargo volume behind row 1</x:v>
      </x:c>
      <x:c r="C43" s="12" t="n">
        <x:v>2499</x:v>
      </x:c>
      <x:c r="D43" s="12" t="str">
        <x:v>L</x:v>
      </x:c>
      <x:c r="E43" s="12" t="str">
        <x:f>IF(D43="mm",C43,IF(D43="in",C43*25.4,IF(D43="ft",C43*304.8,"")))</x:f>
      </x:c>
      <x:c r="F43" s="12" t="str">
        <x:f>IF(E43="","",E43/25.4)</x:f>
      </x:c>
      <x:c r="G43" s="10" t="str">
        <x:v>D</x:v>
      </x:c>
      <x:c r="H43" s="14" t="n">
        <x:v>1</x:v>
      </x:c>
      <x:c r="I43" s="10" t="str">
        <x:v>relayed_OEM_volume</x:v>
      </x:c>
      <x:c r="J43" s="10" t="str">
        <x:v>Unspecified</x:v>
      </x:c>
      <x:c r="K43" s="10" t="str">
        <x:v>S03</x:v>
      </x:c>
      <x:c r="L43" s="10" t="str">
        <x:v>https://www.reddit.com/r/Rivian/comments/vssjer/r1s_interieor_dimensions/</x:v>
      </x:c>
      <x:c r="M43" s="10" t="str">
        <x:v>2022 support-email relay</x:v>
      </x:c>
      <x:c r="N43" s="10" t="str"/>
      <x:c r="O43" s="10" t="str">
        <x:v>No</x:v>
      </x:c>
      <x:c r="P43" s="10"/>
    </x:row>
    <x:row r="44" ht="40" customHeight="1">
      <x:c r="A44" s="11" t="str">
        <x:v>D040</x:v>
      </x:c>
      <x:c r="B44" s="11" t="str">
        <x:v>Total enclosed storage</x:v>
      </x:c>
      <x:c r="C44" s="13" t="n">
        <x:v>2966</x:v>
      </x:c>
      <x:c r="D44" s="13" t="str">
        <x:v>L</x:v>
      </x:c>
      <x:c r="E44" s="13" t="str">
        <x:f>IF(D44="mm",C44,IF(D44="in",C44*25.4,IF(D44="ft",C44*304.8,"")))</x:f>
      </x:c>
      <x:c r="F44" s="13" t="str">
        <x:f>IF(E44="","",E44/25.4)</x:f>
      </x:c>
      <x:c r="G44" s="11" t="str">
        <x:v>D</x:v>
      </x:c>
      <x:c r="H44" s="15" t="n">
        <x:v>1</x:v>
      </x:c>
      <x:c r="I44" s="11" t="str">
        <x:v>relayed_OEM_volume</x:v>
      </x:c>
      <x:c r="J44" s="11" t="str">
        <x:v>Unspecified</x:v>
      </x:c>
      <x:c r="K44" s="11" t="str">
        <x:v>S03</x:v>
      </x:c>
      <x:c r="L44" s="11" t="str">
        <x:v>https://www.reddit.com/r/Rivian/comments/vssjer/r1s_interieor_dimensions/</x:v>
      </x:c>
      <x:c r="M44" s="11" t="str">
        <x:v>2022 support-email relay</x:v>
      </x:c>
      <x:c r="N44" s="11" t="str"/>
      <x:c r="O44" s="11" t="str">
        <x:v>No</x:v>
      </x:c>
      <x:c r="P44" s="11"/>
    </x:row>
    <x:row r="45" ht="40" customHeight="1">
      <x:c r="A45" s="10" t="str">
        <x:v>D041</x:v>
      </x:c>
      <x:c r="B45" s="10" t="str">
        <x:v>Row 2 effective legroom</x:v>
      </x:c>
      <x:c r="C45" s="12" t="n">
        <x:v>931</x:v>
      </x:c>
      <x:c r="D45" s="12" t="str">
        <x:v>mm</x:v>
      </x:c>
      <x:c r="E45" s="12" t="n">
        <x:f>IF(D45="mm",C45,IF(D45="in",C45*25.4,IF(D45="ft",C45*304.8,"")))</x:f>
        <x:v>931</x:v>
      </x:c>
      <x:c r="F45" s="12" t="n">
        <x:f>IF(E45="","",E45/25.4)</x:f>
        <x:v>36.653543307086615</x:v>
      </x:c>
      <x:c r="G45" s="10" t="str">
        <x:v>D</x:v>
      </x:c>
      <x:c r="H45" s="14" t="n">
        <x:v>1</x:v>
      </x:c>
      <x:c r="I45" s="10" t="str">
        <x:v>relayed_SAE_spec</x:v>
      </x:c>
      <x:c r="J45" s="10" t="str">
        <x:v>Unspecified</x:v>
      </x:c>
      <x:c r="K45" s="10" t="str">
        <x:v>S04</x:v>
      </x:c>
      <x:c r="L45" s="10" t="str">
        <x:v>https://www.rivianforums.com/forum/threads/what-we-know-collecting-information-directly-from-rivian.827/page-10#post-15113</x:v>
      </x:c>
      <x:c r="M45" s="10" t="str">
        <x:v>November 2020 preproduction; 7-passenger R1S column</x:v>
      </x:c>
      <x:c r="N45" s="10" t="str"/>
      <x:c r="O45" s="10" t="str">
        <x:v>No</x:v>
      </x:c>
      <x:c r="P45" s="10"/>
    </x:row>
    <x:row r="46" ht="40" customHeight="1">
      <x:c r="A46" s="11" t="str">
        <x:v>D042</x:v>
      </x:c>
      <x:c r="B46" s="11" t="str">
        <x:v>Row 3 effective legroom</x:v>
      </x:c>
      <x:c r="C46" s="13" t="n">
        <x:v>832</x:v>
      </x:c>
      <x:c r="D46" s="13" t="str">
        <x:v>mm</x:v>
      </x:c>
      <x:c r="E46" s="13" t="n">
        <x:f>IF(D46="mm",C46,IF(D46="in",C46*25.4,IF(D46="ft",C46*304.8,"")))</x:f>
        <x:v>832</x:v>
      </x:c>
      <x:c r="F46" s="13" t="n">
        <x:f>IF(E46="","",E46/25.4)</x:f>
        <x:v>32.75590551181102</x:v>
      </x:c>
      <x:c r="G46" s="11" t="str">
        <x:v>D</x:v>
      </x:c>
      <x:c r="H46" s="15" t="n">
        <x:v>1</x:v>
      </x:c>
      <x:c r="I46" s="11" t="str">
        <x:v>relayed_SAE_spec</x:v>
      </x:c>
      <x:c r="J46" s="11" t="str">
        <x:v>Unspecified</x:v>
      </x:c>
      <x:c r="K46" s="11" t="str">
        <x:v>S04</x:v>
      </x:c>
      <x:c r="L46" s="11" t="str">
        <x:v>https://www.rivianforums.com/forum/threads/what-we-know-collecting-information-directly-from-rivian.827/page-10#post-15113</x:v>
      </x:c>
      <x:c r="M46" s="11" t="str">
        <x:v>November 2020 preproduction; 7-passenger R1S column</x:v>
      </x:c>
      <x:c r="N46" s="11" t="str"/>
      <x:c r="O46" s="11" t="str">
        <x:v>No</x:v>
      </x:c>
      <x:c r="P46" s="11"/>
    </x:row>
    <x:row r="47" ht="40" customHeight="1">
      <x:c r="A47" s="10" t="str">
        <x:v>D043</x:v>
      </x:c>
      <x:c r="B47" s="10" t="str">
        <x:v>Row 1–2 couple distance</x:v>
      </x:c>
      <x:c r="C47" s="12" t="n">
        <x:v>880</x:v>
      </x:c>
      <x:c r="D47" s="12" t="str">
        <x:v>mm</x:v>
      </x:c>
      <x:c r="E47" s="12" t="n">
        <x:f>IF(D47="mm",C47,IF(D47="in",C47*25.4,IF(D47="ft",C47*304.8,"")))</x:f>
        <x:v>880</x:v>
      </x:c>
      <x:c r="F47" s="12" t="n">
        <x:f>IF(E47="","",E47/25.4)</x:f>
        <x:v>34.645669291338585</x:v>
      </x:c>
      <x:c r="G47" s="10" t="str">
        <x:v>D</x:v>
      </x:c>
      <x:c r="H47" s="14" t="n">
        <x:v>1</x:v>
      </x:c>
      <x:c r="I47" s="10" t="str">
        <x:v>relayed_SAE_spec</x:v>
      </x:c>
      <x:c r="J47" s="10" t="str">
        <x:v>Unspecified</x:v>
      </x:c>
      <x:c r="K47" s="10" t="str">
        <x:v>S04</x:v>
      </x:c>
      <x:c r="L47" s="10" t="str">
        <x:v>https://www.rivianforums.com/forum/threads/what-we-know-collecting-information-directly-from-rivian.827/page-10#post-15113</x:v>
      </x:c>
      <x:c r="M47" s="10" t="str">
        <x:v>November 2020 preproduction; 7-passenger R1S column</x:v>
      </x:c>
      <x:c r="N47" s="10" t="str"/>
      <x:c r="O47" s="10" t="str">
        <x:v>No</x:v>
      </x:c>
      <x:c r="P47" s="10"/>
    </x:row>
    <x:row r="48" ht="40" customHeight="1">
      <x:c r="A48" s="11" t="str">
        <x:v>D044</x:v>
      </x:c>
      <x:c r="B48" s="11" t="str">
        <x:v>Row 2–3 couple distance</x:v>
      </x:c>
      <x:c r="C48" s="13" t="n">
        <x:v>750</x:v>
      </x:c>
      <x:c r="D48" s="13" t="str">
        <x:v>mm</x:v>
      </x:c>
      <x:c r="E48" s="13" t="n">
        <x:f>IF(D48="mm",C48,IF(D48="in",C48*25.4,IF(D48="ft",C48*304.8,"")))</x:f>
        <x:v>750</x:v>
      </x:c>
      <x:c r="F48" s="13" t="n">
        <x:f>IF(E48="","",E48/25.4)</x:f>
        <x:v>29.52755905511811</x:v>
      </x:c>
      <x:c r="G48" s="11" t="str">
        <x:v>D</x:v>
      </x:c>
      <x:c r="H48" s="15" t="n">
        <x:v>1</x:v>
      </x:c>
      <x:c r="I48" s="11" t="str">
        <x:v>relayed_SAE_spec</x:v>
      </x:c>
      <x:c r="J48" s="11" t="str">
        <x:v>Unspecified</x:v>
      </x:c>
      <x:c r="K48" s="11" t="str">
        <x:v>S04</x:v>
      </x:c>
      <x:c r="L48" s="11" t="str">
        <x:v>https://www.rivianforums.com/forum/threads/what-we-know-collecting-information-directly-from-rivian.827/page-10#post-15113</x:v>
      </x:c>
      <x:c r="M48" s="11" t="str">
        <x:v>November 2020 preproduction; 7-passenger R1S column</x:v>
      </x:c>
      <x:c r="N48" s="11" t="str"/>
      <x:c r="O48" s="11" t="str">
        <x:v>No</x:v>
      </x:c>
      <x:c r="P48" s="11"/>
    </x:row>
    <x:row r="49" ht="40" customHeight="1">
      <x:c r="A49" s="10" t="str">
        <x:v>D045</x:v>
      </x:c>
      <x:c r="B49" s="10" t="str">
        <x:v>Row 2 shoulder room</x:v>
      </x:c>
      <x:c r="C49" s="12" t="n">
        <x:v>1496</x:v>
      </x:c>
      <x:c r="D49" s="12" t="str">
        <x:v>mm</x:v>
      </x:c>
      <x:c r="E49" s="12" t="n">
        <x:f>IF(D49="mm",C49,IF(D49="in",C49*25.4,IF(D49="ft",C49*304.8,"")))</x:f>
        <x:v>1496</x:v>
      </x:c>
      <x:c r="F49" s="12" t="n">
        <x:f>IF(E49="","",E49/25.4)</x:f>
        <x:v>58.89763779527559</x:v>
      </x:c>
      <x:c r="G49" s="10" t="str">
        <x:v>D</x:v>
      </x:c>
      <x:c r="H49" s="14" t="n">
        <x:v>1</x:v>
      </x:c>
      <x:c r="I49" s="10" t="str">
        <x:v>relayed_SAE_spec</x:v>
      </x:c>
      <x:c r="J49" s="10" t="str">
        <x:v>Unspecified</x:v>
      </x:c>
      <x:c r="K49" s="10" t="str">
        <x:v>S04</x:v>
      </x:c>
      <x:c r="L49" s="10" t="str">
        <x:v>https://www.rivianforums.com/forum/threads/what-we-know-collecting-information-directly-from-rivian.827/page-10#post-15113</x:v>
      </x:c>
      <x:c r="M49" s="10" t="str">
        <x:v>November 2020 preproduction; 7-passenger R1S column</x:v>
      </x:c>
      <x:c r="N49" s="10" t="str"/>
      <x:c r="O49" s="10" t="str">
        <x:v>No</x:v>
      </x:c>
      <x:c r="P49" s="10"/>
    </x:row>
    <x:row r="50" ht="40" customHeight="1">
      <x:c r="A50" s="11" t="str">
        <x:v>D046</x:v>
      </x:c>
      <x:c r="B50" s="11" t="str">
        <x:v>Row 3 shoulder room</x:v>
      </x:c>
      <x:c r="C50" s="13" t="n">
        <x:v>1298</x:v>
      </x:c>
      <x:c r="D50" s="13" t="str">
        <x:v>mm</x:v>
      </x:c>
      <x:c r="E50" s="13" t="n">
        <x:f>IF(D50="mm",C50,IF(D50="in",C50*25.4,IF(D50="ft",C50*304.8,"")))</x:f>
        <x:v>1298</x:v>
      </x:c>
      <x:c r="F50" s="13" t="n">
        <x:f>IF(E50="","",E50/25.4)</x:f>
        <x:v>51.102362204724415</x:v>
      </x:c>
      <x:c r="G50" s="11" t="str">
        <x:v>D</x:v>
      </x:c>
      <x:c r="H50" s="15" t="n">
        <x:v>1</x:v>
      </x:c>
      <x:c r="I50" s="11" t="str">
        <x:v>relayed_SAE_spec</x:v>
      </x:c>
      <x:c r="J50" s="11" t="str">
        <x:v>Unspecified</x:v>
      </x:c>
      <x:c r="K50" s="11" t="str">
        <x:v>S04</x:v>
      </x:c>
      <x:c r="L50" s="11" t="str">
        <x:v>https://www.rivianforums.com/forum/threads/what-we-know-collecting-information-directly-from-rivian.827/page-10#post-15113</x:v>
      </x:c>
      <x:c r="M50" s="11" t="str">
        <x:v>November 2020 preproduction; 7-passenger R1S column</x:v>
      </x:c>
      <x:c r="N50" s="11" t="str"/>
      <x:c r="O50" s="11" t="str">
        <x:v>No</x:v>
      </x:c>
      <x:c r="P50" s="11"/>
    </x:row>
    <x:row r="51" ht="40" customHeight="1">
      <x:c r="A51" s="10" t="str">
        <x:v>D047</x:v>
      </x:c>
      <x:c r="B51" s="10" t="str">
        <x:v>Row 2 hip room</x:v>
      </x:c>
      <x:c r="C51" s="12" t="n">
        <x:v>1377</x:v>
      </x:c>
      <x:c r="D51" s="12" t="str">
        <x:v>mm</x:v>
      </x:c>
      <x:c r="E51" s="12" t="n">
        <x:f>IF(D51="mm",C51,IF(D51="in",C51*25.4,IF(D51="ft",C51*304.8,"")))</x:f>
        <x:v>1377</x:v>
      </x:c>
      <x:c r="F51" s="12" t="n">
        <x:f>IF(E51="","",E51/25.4)</x:f>
        <x:v>54.21259842519685</x:v>
      </x:c>
      <x:c r="G51" s="10" t="str">
        <x:v>D</x:v>
      </x:c>
      <x:c r="H51" s="14" t="n">
        <x:v>1</x:v>
      </x:c>
      <x:c r="I51" s="10" t="str">
        <x:v>relayed_SAE_spec</x:v>
      </x:c>
      <x:c r="J51" s="10" t="str">
        <x:v>Unspecified</x:v>
      </x:c>
      <x:c r="K51" s="10" t="str">
        <x:v>S04</x:v>
      </x:c>
      <x:c r="L51" s="10" t="str">
        <x:v>https://www.rivianforums.com/forum/threads/what-we-know-collecting-information-directly-from-rivian.827/page-10#post-15113</x:v>
      </x:c>
      <x:c r="M51" s="10" t="str">
        <x:v>November 2020 preproduction; 7-passenger R1S column</x:v>
      </x:c>
      <x:c r="N51" s="10" t="str"/>
      <x:c r="O51" s="10" t="str">
        <x:v>No</x:v>
      </x:c>
      <x:c r="P51" s="10"/>
    </x:row>
    <x:row r="52" ht="40" customHeight="1">
      <x:c r="A52" s="11" t="str">
        <x:v>D048</x:v>
      </x:c>
      <x:c r="B52" s="11" t="str">
        <x:v>Row 3 hip room</x:v>
      </x:c>
      <x:c r="C52" s="13" t="n">
        <x:v>1086</x:v>
      </x:c>
      <x:c r="D52" s="13" t="str">
        <x:v>mm</x:v>
      </x:c>
      <x:c r="E52" s="13" t="n">
        <x:f>IF(D52="mm",C52,IF(D52="in",C52*25.4,IF(D52="ft",C52*304.8,"")))</x:f>
        <x:v>1086</x:v>
      </x:c>
      <x:c r="F52" s="13" t="n">
        <x:f>IF(E52="","",E52/25.4)</x:f>
        <x:v>42.75590551181103</x:v>
      </x:c>
      <x:c r="G52" s="11" t="str">
        <x:v>D</x:v>
      </x:c>
      <x:c r="H52" s="15" t="n">
        <x:v>1</x:v>
      </x:c>
      <x:c r="I52" s="11" t="str">
        <x:v>relayed_SAE_spec</x:v>
      </x:c>
      <x:c r="J52" s="11" t="str">
        <x:v>Unspecified</x:v>
      </x:c>
      <x:c r="K52" s="11" t="str">
        <x:v>S04</x:v>
      </x:c>
      <x:c r="L52" s="11" t="str">
        <x:v>https://www.rivianforums.com/forum/threads/what-we-know-collecting-information-directly-from-rivian.827/page-10#post-15113</x:v>
      </x:c>
      <x:c r="M52" s="11" t="str">
        <x:v>November 2020 preproduction; 7-passenger R1S column</x:v>
      </x:c>
      <x:c r="N52" s="11" t="str"/>
      <x:c r="O52" s="11" t="str">
        <x:v>No</x:v>
      </x:c>
      <x:c r="P52" s="11"/>
    </x:row>
    <x:row r="53" ht="40" customHeight="1">
      <x:c r="A53" s="10" t="str">
        <x:v>D049</x:v>
      </x:c>
      <x:c r="B53" s="10" t="str">
        <x:v>Row 2 elbow room</x:v>
      </x:c>
      <x:c r="C53" s="12" t="n">
        <x:v>1515</x:v>
      </x:c>
      <x:c r="D53" s="12" t="str">
        <x:v>mm</x:v>
      </x:c>
      <x:c r="E53" s="12" t="n">
        <x:f>IF(D53="mm",C53,IF(D53="in",C53*25.4,IF(D53="ft",C53*304.8,"")))</x:f>
        <x:v>1515</x:v>
      </x:c>
      <x:c r="F53" s="12" t="n">
        <x:f>IF(E53="","",E53/25.4)</x:f>
        <x:v>59.645669291338585</x:v>
      </x:c>
      <x:c r="G53" s="10" t="str">
        <x:v>D</x:v>
      </x:c>
      <x:c r="H53" s="14" t="n">
        <x:v>1</x:v>
      </x:c>
      <x:c r="I53" s="10" t="str">
        <x:v>relayed_SAE_spec</x:v>
      </x:c>
      <x:c r="J53" s="10" t="str">
        <x:v>Unspecified</x:v>
      </x:c>
      <x:c r="K53" s="10" t="str">
        <x:v>S04</x:v>
      </x:c>
      <x:c r="L53" s="10" t="str">
        <x:v>https://www.rivianforums.com/forum/threads/what-we-know-collecting-information-directly-from-rivian.827/page-10#post-15113</x:v>
      </x:c>
      <x:c r="M53" s="10" t="str">
        <x:v>November 2020 preproduction; 7-passenger R1S column</x:v>
      </x:c>
      <x:c r="N53" s="10" t="str"/>
      <x:c r="O53" s="10" t="str">
        <x:v>No</x:v>
      </x:c>
      <x:c r="P53" s="10"/>
    </x:row>
    <x:row r="54" ht="40" customHeight="1">
      <x:c r="A54" s="11" t="str">
        <x:v>D050</x:v>
      </x:c>
      <x:c r="B54" s="11" t="str">
        <x:v>Row 3 elbow room</x:v>
      </x:c>
      <x:c r="C54" s="13" t="n">
        <x:v>1296</x:v>
      </x:c>
      <x:c r="D54" s="13" t="str">
        <x:v>mm</x:v>
      </x:c>
      <x:c r="E54" s="13" t="n">
        <x:f>IF(D54="mm",C54,IF(D54="in",C54*25.4,IF(D54="ft",C54*304.8,"")))</x:f>
        <x:v>1296</x:v>
      </x:c>
      <x:c r="F54" s="13" t="n">
        <x:f>IF(E54="","",E54/25.4)</x:f>
        <x:v>51.023622047244096</x:v>
      </x:c>
      <x:c r="G54" s="11" t="str">
        <x:v>D</x:v>
      </x:c>
      <x:c r="H54" s="15" t="n">
        <x:v>1</x:v>
      </x:c>
      <x:c r="I54" s="11" t="str">
        <x:v>relayed_SAE_spec</x:v>
      </x:c>
      <x:c r="J54" s="11" t="str">
        <x:v>Unspecified</x:v>
      </x:c>
      <x:c r="K54" s="11" t="str">
        <x:v>S04</x:v>
      </x:c>
      <x:c r="L54" s="11" t="str">
        <x:v>https://www.rivianforums.com/forum/threads/what-we-know-collecting-information-directly-from-rivian.827/page-10#post-15113</x:v>
      </x:c>
      <x:c r="M54" s="11" t="str">
        <x:v>November 2020 preproduction; 7-passenger R1S column</x:v>
      </x:c>
      <x:c r="N54" s="11" t="str"/>
      <x:c r="O54" s="11" t="str">
        <x:v>No</x:v>
      </x:c>
      <x:c r="P54" s="11"/>
    </x:row>
    <x:row r="55" ht="40" customHeight="1">
      <x:c r="A55" s="10" t="str">
        <x:v>D051</x:v>
      </x:c>
      <x:c r="B55" s="10" t="str">
        <x:v>Row 2 seat height</x:v>
      </x:c>
      <x:c r="C55" s="12" t="n">
        <x:v>350</x:v>
      </x:c>
      <x:c r="D55" s="12" t="str">
        <x:v>mm</x:v>
      </x:c>
      <x:c r="E55" s="12" t="n">
        <x:f>IF(D55="mm",C55,IF(D55="in",C55*25.4,IF(D55="ft",C55*304.8,"")))</x:f>
        <x:v>350</x:v>
      </x:c>
      <x:c r="F55" s="12" t="n">
        <x:f>IF(E55="","",E55/25.4)</x:f>
        <x:v>13.779527559055119</x:v>
      </x:c>
      <x:c r="G55" s="10" t="str">
        <x:v>D</x:v>
      </x:c>
      <x:c r="H55" s="14" t="n">
        <x:v>1</x:v>
      </x:c>
      <x:c r="I55" s="10" t="str">
        <x:v>relayed_SAE_spec</x:v>
      </x:c>
      <x:c r="J55" s="10" t="str">
        <x:v>Unspecified</x:v>
      </x:c>
      <x:c r="K55" s="10" t="str">
        <x:v>S04</x:v>
      </x:c>
      <x:c r="L55" s="10" t="str">
        <x:v>https://www.rivianforums.com/forum/threads/what-we-know-collecting-information-directly-from-rivian.827/page-10#post-15113</x:v>
      </x:c>
      <x:c r="M55" s="10" t="str">
        <x:v>November 2020 preproduction; 7-passenger R1S column</x:v>
      </x:c>
      <x:c r="N55" s="10" t="str"/>
      <x:c r="O55" s="10" t="str">
        <x:v>No</x:v>
      </x:c>
      <x:c r="P55" s="10"/>
    </x:row>
    <x:row r="56" ht="40" customHeight="1">
      <x:c r="A56" s="11" t="str">
        <x:v>D052</x:v>
      </x:c>
      <x:c r="B56" s="11" t="str">
        <x:v>Row 3 seat height</x:v>
      </x:c>
      <x:c r="C56" s="13" t="n">
        <x:v>310</x:v>
      </x:c>
      <x:c r="D56" s="13" t="str">
        <x:v>mm</x:v>
      </x:c>
      <x:c r="E56" s="13" t="n">
        <x:f>IF(D56="mm",C56,IF(D56="in",C56*25.4,IF(D56="ft",C56*304.8,"")))</x:f>
        <x:v>310</x:v>
      </x:c>
      <x:c r="F56" s="13" t="n">
        <x:f>IF(E56="","",E56/25.4)</x:f>
        <x:v>12.20472440944882</x:v>
      </x:c>
      <x:c r="G56" s="11" t="str">
        <x:v>D</x:v>
      </x:c>
      <x:c r="H56" s="15" t="n">
        <x:v>1</x:v>
      </x:c>
      <x:c r="I56" s="11" t="str">
        <x:v>relayed_SAE_spec</x:v>
      </x:c>
      <x:c r="J56" s="11" t="str">
        <x:v>Unspecified</x:v>
      </x:c>
      <x:c r="K56" s="11" t="str">
        <x:v>S04</x:v>
      </x:c>
      <x:c r="L56" s="11" t="str">
        <x:v>https://www.rivianforums.com/forum/threads/what-we-know-collecting-information-directly-from-rivian.827/page-10#post-15113</x:v>
      </x:c>
      <x:c r="M56" s="11" t="str">
        <x:v>November 2020 preproduction; 7-passenger R1S column</x:v>
      </x:c>
      <x:c r="N56" s="11" t="str"/>
      <x:c r="O56" s="11" t="str">
        <x:v>No</x:v>
      </x:c>
      <x:c r="P56" s="11"/>
    </x:row>
    <x:row r="57" ht="40" customHeight="1">
      <x:c r="A57" s="10" t="str">
        <x:v>D053</x:v>
      </x:c>
      <x:c r="B57" s="10" t="str">
        <x:v>Row 2 effective headroom</x:v>
      </x:c>
      <x:c r="C57" s="12" t="n">
        <x:v>1008</x:v>
      </x:c>
      <x:c r="D57" s="12" t="str">
        <x:v>mm</x:v>
      </x:c>
      <x:c r="E57" s="12" t="n">
        <x:f>IF(D57="mm",C57,IF(D57="in",C57*25.4,IF(D57="ft",C57*304.8,"")))</x:f>
        <x:v>1008</x:v>
      </x:c>
      <x:c r="F57" s="12" t="n">
        <x:f>IF(E57="","",E57/25.4)</x:f>
        <x:v>39.68503937007874</x:v>
      </x:c>
      <x:c r="G57" s="10" t="str">
        <x:v>D</x:v>
      </x:c>
      <x:c r="H57" s="14" t="n">
        <x:v>1</x:v>
      </x:c>
      <x:c r="I57" s="10" t="str">
        <x:v>relayed_SAE_spec</x:v>
      </x:c>
      <x:c r="J57" s="10" t="str">
        <x:v>Unspecified</x:v>
      </x:c>
      <x:c r="K57" s="10" t="str">
        <x:v>S04</x:v>
      </x:c>
      <x:c r="L57" s="10" t="str">
        <x:v>https://www.rivianforums.com/forum/threads/what-we-know-collecting-information-directly-from-rivian.827/page-10#post-15113</x:v>
      </x:c>
      <x:c r="M57" s="10" t="str">
        <x:v>November 2020 preproduction; 7-passenger R1S column</x:v>
      </x:c>
      <x:c r="N57" s="10" t="str"/>
      <x:c r="O57" s="10" t="str">
        <x:v>No</x:v>
      </x:c>
      <x:c r="P57" s="10"/>
    </x:row>
    <x:row r="58" ht="40" customHeight="1">
      <x:c r="A58" s="11" t="str">
        <x:v>D054</x:v>
      </x:c>
      <x:c r="B58" s="11" t="str">
        <x:v>Row 3 effective headroom</x:v>
      </x:c>
      <x:c r="C58" s="13" t="n">
        <x:v>981</x:v>
      </x:c>
      <x:c r="D58" s="13" t="str">
        <x:v>mm</x:v>
      </x:c>
      <x:c r="E58" s="13" t="n">
        <x:f>IF(D58="mm",C58,IF(D58="in",C58*25.4,IF(D58="ft",C58*304.8,"")))</x:f>
        <x:v>981</x:v>
      </x:c>
      <x:c r="F58" s="13" t="n">
        <x:f>IF(E58="","",E58/25.4)</x:f>
        <x:v>38.62204724409449</x:v>
      </x:c>
      <x:c r="G58" s="11" t="str">
        <x:v>D</x:v>
      </x:c>
      <x:c r="H58" s="15" t="n">
        <x:v>1</x:v>
      </x:c>
      <x:c r="I58" s="11" t="str">
        <x:v>relayed_SAE_spec</x:v>
      </x:c>
      <x:c r="J58" s="11" t="str">
        <x:v>Unspecified</x:v>
      </x:c>
      <x:c r="K58" s="11" t="str">
        <x:v>S04</x:v>
      </x:c>
      <x:c r="L58" s="11" t="str">
        <x:v>https://www.rivianforums.com/forum/threads/what-we-know-collecting-information-directly-from-rivian.827/page-10#post-15113</x:v>
      </x:c>
      <x:c r="M58" s="11" t="str">
        <x:v>November 2020 preproduction; 7-passenger R1S column</x:v>
      </x:c>
      <x:c r="N58" s="11" t="str"/>
      <x:c r="O58" s="11" t="str">
        <x:v>No</x:v>
      </x:c>
      <x:c r="P58" s="11"/>
    </x:row>
    <x:row r="59" ht="40" customHeight="1">
      <x:c r="A59" s="10" t="str">
        <x:v>D055</x:v>
      </x:c>
      <x:c r="B59" s="10" t="str">
        <x:v>Comfortable box width</x:v>
      </x:c>
      <x:c r="C59" s="12" t="n">
        <x:v>42.5</x:v>
      </x:c>
      <x:c r="D59" s="12" t="str">
        <x:v>in</x:v>
      </x:c>
      <x:c r="E59" s="12" t="n">
        <x:f>IF(D59="mm",C59,IF(D59="in",C59*25.4,IF(D59="ft",C59*304.8,"")))</x:f>
        <x:v>1079.5</x:v>
      </x:c>
      <x:c r="F59" s="12" t="n">
        <x:f>IF(E59="","",E59/25.4)</x:f>
        <x:v>42.5</x:v>
      </x:c>
      <x:c r="G59" s="10" t="str">
        <x:v>A</x:v>
      </x:c>
      <x:c r="H59" s="14" t="n">
        <x:v>4</x:v>
      </x:c>
      <x:c r="I59" s="10" t="str">
        <x:v>published_physical_envelope</x:v>
      </x:c>
      <x:c r="J59" s="10" t="str">
        <x:v>Rows 2 and 3 folded</x:v>
      </x:c>
      <x:c r="K59" s="10" t="str">
        <x:v>S05</x:v>
      </x:c>
      <x:c r="L59" s="10" t="str">
        <x:v>https://www.thedrive.com/news/we-measured-the-2022-rivian-r1ss-cargo-storage-to-determine-its-usable-space</x:v>
      </x:c>
      <x:c r="M59" s="10" t="str">
        <x:v>2022 media vehicle</x:v>
      </x:c>
      <x:c r="N59" s="10" t="str"/>
      <x:c r="O59" s="10" t="str">
        <x:v>No</x:v>
      </x:c>
      <x:c r="P59" s="10"/>
    </x:row>
    <x:row r="60" ht="40" customHeight="1">
      <x:c r="A60" s="11" t="str">
        <x:v>D056</x:v>
      </x:c>
      <x:c r="B60" s="11" t="str">
        <x:v>Comfortable box length</x:v>
      </x:c>
      <x:c r="C60" s="13" t="n">
        <x:v>81</x:v>
      </x:c>
      <x:c r="D60" s="13" t="str">
        <x:v>in</x:v>
      </x:c>
      <x:c r="E60" s="13" t="n">
        <x:f>IF(D60="mm",C60,IF(D60="in",C60*25.4,IF(D60="ft",C60*304.8,"")))</x:f>
        <x:v>2057.4</x:v>
      </x:c>
      <x:c r="F60" s="13" t="n">
        <x:f>IF(E60="","",E60/25.4)</x:f>
        <x:v>81.00000000000001</x:v>
      </x:c>
      <x:c r="G60" s="11" t="str">
        <x:v>A</x:v>
      </x:c>
      <x:c r="H60" s="15" t="n">
        <x:v>4</x:v>
      </x:c>
      <x:c r="I60" s="11" t="str">
        <x:v>published_physical_envelope</x:v>
      </x:c>
      <x:c r="J60" s="11" t="str">
        <x:v>Rows 2 and 3 folded</x:v>
      </x:c>
      <x:c r="K60" s="11" t="str">
        <x:v>S05</x:v>
      </x:c>
      <x:c r="L60" s="11" t="str">
        <x:v>https://www.thedrive.com/news/we-measured-the-2022-rivian-r1ss-cargo-storage-to-determine-its-usable-space</x:v>
      </x:c>
      <x:c r="M60" s="11" t="str">
        <x:v>2022 media vehicle</x:v>
      </x:c>
      <x:c r="N60" s="11" t="str"/>
      <x:c r="O60" s="11" t="str">
        <x:v>No</x:v>
      </x:c>
      <x:c r="P60" s="11"/>
    </x:row>
    <x:row r="61" ht="40" customHeight="1">
      <x:c r="A61" s="10" t="str">
        <x:v>D057</x:v>
      </x:c>
      <x:c r="B61" s="10" t="str">
        <x:v>Comfortable box height</x:v>
      </x:c>
      <x:c r="C61" s="12" t="n">
        <x:v>28</x:v>
      </x:c>
      <x:c r="D61" s="12" t="str">
        <x:v>in</x:v>
      </x:c>
      <x:c r="E61" s="12" t="n">
        <x:f>IF(D61="mm",C61,IF(D61="in",C61*25.4,IF(D61="ft",C61*304.8,"")))</x:f>
        <x:v>711.1999999999999</x:v>
      </x:c>
      <x:c r="F61" s="12" t="n">
        <x:f>IF(E61="","",E61/25.4)</x:f>
        <x:v>28</x:v>
      </x:c>
      <x:c r="G61" s="10" t="str">
        <x:v>A</x:v>
      </x:c>
      <x:c r="H61" s="14" t="n">
        <x:v>4</x:v>
      </x:c>
      <x:c r="I61" s="10" t="str">
        <x:v>published_physical_envelope</x:v>
      </x:c>
      <x:c r="J61" s="10" t="str">
        <x:v>Rows 2 and 3 folded</x:v>
      </x:c>
      <x:c r="K61" s="10" t="str">
        <x:v>S05</x:v>
      </x:c>
      <x:c r="L61" s="10" t="str">
        <x:v>https://www.thedrive.com/news/we-measured-the-2022-rivian-r1ss-cargo-storage-to-determine-its-usable-space</x:v>
      </x:c>
      <x:c r="M61" s="10" t="str">
        <x:v>2022 media vehicle</x:v>
      </x:c>
      <x:c r="N61" s="10" t="str"/>
      <x:c r="O61" s="10" t="str">
        <x:v>No</x:v>
      </x:c>
      <x:c r="P61" s="10"/>
    </x:row>
    <x:row r="62" ht="40" customHeight="1">
      <x:c r="A62" s="11" t="str">
        <x:v>D058</x:v>
      </x:c>
      <x:c r="B62" s="11" t="str">
        <x:v>Cargo length behind row 2</x:v>
      </x:c>
      <x:c r="C62" s="13" t="n">
        <x:v>57.7</x:v>
      </x:c>
      <x:c r="D62" s="13" t="str">
        <x:v>in</x:v>
      </x:c>
      <x:c r="E62" s="13" t="n">
        <x:f>IF(D62="mm",C62,IF(D62="in",C62*25.4,IF(D62="ft",C62*304.8,"")))</x:f>
        <x:v>1465.58</x:v>
      </x:c>
      <x:c r="F62" s="13" t="n">
        <x:f>IF(E62="","",E62/25.4)</x:f>
        <x:v>57.7</x:v>
      </x:c>
      <x:c r="G62" s="11" t="str">
        <x:v>D</x:v>
      </x:c>
      <x:c r="H62" s="15" t="n">
        <x:v>1</x:v>
      </x:c>
      <x:c r="I62" s="11" t="str">
        <x:v>relayed_OEM</x:v>
      </x:c>
      <x:c r="J62" s="11" t="str">
        <x:v>Unspecified</x:v>
      </x:c>
      <x:c r="K62" s="11" t="str">
        <x:v>S06</x:v>
      </x:c>
      <x:c r="L62" s="11" t="str">
        <x:v>https://www.rivianforums.com/forum/threads/r1s-size-comparisons-to-other-suvs-and-trucks.5699/page-2</x:v>
      </x:c>
      <x:c r="M62" s="11" t="str">
        <x:v>June 2022 relay</x:v>
      </x:c>
      <x:c r="N62" s="11" t="str"/>
      <x:c r="O62" s="11" t="str">
        <x:v>No</x:v>
      </x:c>
      <x:c r="P62" s="11"/>
    </x:row>
    <x:row r="63" ht="40" customHeight="1">
      <x:c r="A63" s="10" t="str">
        <x:v>D059</x:v>
      </x:c>
      <x:c r="B63" s="10" t="str">
        <x:v>Wheelbase reported</x:v>
      </x:c>
      <x:c r="C63" s="12" t="n">
        <x:v>121.6</x:v>
      </x:c>
      <x:c r="D63" s="12" t="str">
        <x:v>in</x:v>
      </x:c>
      <x:c r="E63" s="12" t="n">
        <x:f>IF(D63="mm",C63,IF(D63="in",C63*25.4,IF(D63="ft",C63*304.8,"")))</x:f>
        <x:v>3088.64</x:v>
      </x:c>
      <x:c r="F63" s="12" t="n">
        <x:f>IF(E63="","",E63/25.4)</x:f>
        <x:v>121.60000000000001</x:v>
      </x:c>
      <x:c r="G63" s="10" t="str">
        <x:v>D</x:v>
      </x:c>
      <x:c r="H63" s="14" t="n">
        <x:v>1</x:v>
      </x:c>
      <x:c r="I63" s="10" t="str">
        <x:v>indexed_test_report_lead</x:v>
      </x:c>
      <x:c r="J63" s="10" t="str">
        <x:v>Standard ride height; driver load per excerpt</x:v>
      </x:c>
      <x:c r="K63" s="10" t="str">
        <x:v>S07</x:v>
      </x:c>
      <x:c r="L63" s="10" t="str">
        <x:v>https://downloads.regulations.gov/NHTSA-2001-9663-0550/attachment_1.pdf</x:v>
      </x:c>
      <x:c r="M63" s="10" t="str">
        <x:v>2023 R1S; test 27 March 2023</x:v>
      </x:c>
      <x:c r="N63" s="10" t="str">
        <x:v>Full PDF inspection pending.</x:v>
      </x:c>
      <x:c r="O63" s="10" t="str">
        <x:v>No</x:v>
      </x:c>
      <x:c r="P63" s="10"/>
    </x:row>
    <x:row r="64" ht="40" customHeight="1">
      <x:c r="A64" s="11" t="str">
        <x:v>D060</x:v>
      </x:c>
      <x:c r="B64" s="11" t="str">
        <x:v>Left wheelbase reported</x:v>
      </x:c>
      <x:c r="C64" s="13" t="n">
        <x:v>121.55</x:v>
      </x:c>
      <x:c r="D64" s="13" t="str">
        <x:v>in</x:v>
      </x:c>
      <x:c r="E64" s="13" t="n">
        <x:f>IF(D64="mm",C64,IF(D64="in",C64*25.4,IF(D64="ft",C64*304.8,"")))</x:f>
        <x:v>3087.37</x:v>
      </x:c>
      <x:c r="F64" s="13" t="n">
        <x:f>IF(E64="","",E64/25.4)</x:f>
        <x:v>121.55</x:v>
      </x:c>
      <x:c r="G64" s="11" t="str">
        <x:v>D</x:v>
      </x:c>
      <x:c r="H64" s="15" t="n">
        <x:v>1</x:v>
      </x:c>
      <x:c r="I64" s="11" t="str">
        <x:v>indexed_test_report_lead</x:v>
      </x:c>
      <x:c r="J64" s="11" t="str">
        <x:v>Standard ride height; driver load per excerpt</x:v>
      </x:c>
      <x:c r="K64" s="11" t="str">
        <x:v>S07</x:v>
      </x:c>
      <x:c r="L64" s="11" t="str">
        <x:v>https://downloads.regulations.gov/NHTSA-2001-9663-0550/attachment_1.pdf</x:v>
      </x:c>
      <x:c r="M64" s="11" t="str">
        <x:v>2023 R1S; test 27 March 2023</x:v>
      </x:c>
      <x:c r="N64" s="11" t="str">
        <x:v>Full PDF inspection pending.</x:v>
      </x:c>
      <x:c r="O64" s="11" t="str">
        <x:v>No</x:v>
      </x:c>
      <x:c r="P64" s="11"/>
    </x:row>
    <x:row r="65" ht="40" customHeight="1">
      <x:c r="A65" s="10" t="str">
        <x:v>D061</x:v>
      </x:c>
      <x:c r="B65" s="10" t="str">
        <x:v>Right wheelbase reported</x:v>
      </x:c>
      <x:c r="C65" s="12" t="n">
        <x:v>121.65</x:v>
      </x:c>
      <x:c r="D65" s="12" t="str">
        <x:v>in</x:v>
      </x:c>
      <x:c r="E65" s="12" t="n">
        <x:f>IF(D65="mm",C65,IF(D65="in",C65*25.4,IF(D65="ft",C65*304.8,"")))</x:f>
        <x:v>3089.91</x:v>
      </x:c>
      <x:c r="F65" s="12" t="n">
        <x:f>IF(E65="","",E65/25.4)</x:f>
        <x:v>121.65</x:v>
      </x:c>
      <x:c r="G65" s="10" t="str">
        <x:v>D</x:v>
      </x:c>
      <x:c r="H65" s="14" t="n">
        <x:v>1</x:v>
      </x:c>
      <x:c r="I65" s="10" t="str">
        <x:v>indexed_test_report_lead</x:v>
      </x:c>
      <x:c r="J65" s="10" t="str">
        <x:v>Standard ride height; driver load per excerpt</x:v>
      </x:c>
      <x:c r="K65" s="10" t="str">
        <x:v>S07</x:v>
      </x:c>
      <x:c r="L65" s="10" t="str">
        <x:v>https://downloads.regulations.gov/NHTSA-2001-9663-0550/attachment_1.pdf</x:v>
      </x:c>
      <x:c r="M65" s="10" t="str">
        <x:v>2023 R1S; test 27 March 2023</x:v>
      </x:c>
      <x:c r="N65" s="10" t="str">
        <x:v>Full PDF inspection pending.</x:v>
      </x:c>
      <x:c r="O65" s="10" t="str">
        <x:v>No</x:v>
      </x:c>
      <x:c r="P65" s="10"/>
    </x:row>
    <x:row r="66" ht="40" customHeight="1">
      <x:c r="A66" s="11" t="str">
        <x:v>D062</x:v>
      </x:c>
      <x:c r="B66" s="11" t="str">
        <x:v>Platform length</x:v>
      </x:c>
      <x:c r="C66" s="13" t="n">
        <x:v>78.5</x:v>
      </x:c>
      <x:c r="D66" s="13" t="str">
        <x:v>in</x:v>
      </x:c>
      <x:c r="E66" s="13" t="n">
        <x:f>IF(D66="mm",C66,IF(D66="in",C66*25.4,IF(D66="ft",C66*304.8,"")))</x:f>
        <x:v>1993.8999999999999</x:v>
      </x:c>
      <x:c r="F66" s="13" t="n">
        <x:f>IF(E66="","",E66/25.4)</x:f>
        <x:v>78.5</x:v>
      </x:c>
      <x:c r="G66" s="11" t="str">
        <x:v>A</x:v>
      </x:c>
      <x:c r="H66" s="15" t="n">
        <x:v>4</x:v>
      </x:c>
      <x:c r="I66" s="11" t="str">
        <x:v>accessory_dimension</x:v>
      </x:c>
      <x:c r="J66" s="11" t="str">
        <x:v>Product installation; generation mapping unresolved</x:v>
      </x:c>
      <x:c r="K66" s="11" t="str">
        <x:v>S08</x:v>
      </x:c>
      <x:c r="L66" s="11" t="str">
        <x:v>https://bambeds.com/products/bambed-rivian-r1s</x:v>
      </x:c>
      <x:c r="M66" s="11" t="str">
        <x:v>Gen 1 and Gen 2 options; dimensions not individually scoped</x:v>
      </x:c>
      <x:c r="N66" s="11" t="str"/>
      <x:c r="O66" s="11" t="str">
        <x:v>No</x:v>
      </x:c>
      <x:c r="P66" s="11"/>
    </x:row>
    <x:row r="67" ht="40" customHeight="1">
      <x:c r="A67" s="10" t="str">
        <x:v>D063</x:v>
      </x:c>
      <x:c r="B67" s="10" t="str">
        <x:v>Platform width between rails</x:v>
      </x:c>
      <x:c r="C67" s="12" t="n">
        <x:v>34.6</x:v>
      </x:c>
      <x:c r="D67" s="12" t="str">
        <x:v>in</x:v>
      </x:c>
      <x:c r="E67" s="12" t="n">
        <x:f>IF(D67="mm",C67,IF(D67="in",C67*25.4,IF(D67="ft",C67*304.8,"")))</x:f>
        <x:v>878.84</x:v>
      </x:c>
      <x:c r="F67" s="12" t="n">
        <x:f>IF(E67="","",E67/25.4)</x:f>
        <x:v>34.6</x:v>
      </x:c>
      <x:c r="G67" s="10" t="str">
        <x:v>A</x:v>
      </x:c>
      <x:c r="H67" s="14" t="n">
        <x:v>4</x:v>
      </x:c>
      <x:c r="I67" s="10" t="str">
        <x:v>accessory_dimension</x:v>
      </x:c>
      <x:c r="J67" s="10" t="str">
        <x:v>Product installation; generation mapping unresolved</x:v>
      </x:c>
      <x:c r="K67" s="10" t="str">
        <x:v>S08</x:v>
      </x:c>
      <x:c r="L67" s="10" t="str">
        <x:v>https://bambeds.com/products/bambed-rivian-r1s</x:v>
      </x:c>
      <x:c r="M67" s="10" t="str">
        <x:v>Gen 1 and Gen 2 options; dimensions not individually scoped</x:v>
      </x:c>
      <x:c r="N67" s="10" t="str"/>
      <x:c r="O67" s="10" t="str">
        <x:v>No</x:v>
      </x:c>
      <x:c r="P67" s="10"/>
    </x:row>
    <x:row r="68" ht="40" customHeight="1">
      <x:c r="A68" s="11" t="str">
        <x:v>D064</x:v>
      </x:c>
      <x:c r="B68" s="11" t="str">
        <x:v>Platform upper headroom maximum</x:v>
      </x:c>
      <x:c r="C68" s="13" t="n">
        <x:v>29</x:v>
      </x:c>
      <x:c r="D68" s="13" t="str">
        <x:v>in</x:v>
      </x:c>
      <x:c r="E68" s="13" t="n">
        <x:f>IF(D68="mm",C68,IF(D68="in",C68*25.4,IF(D68="ft",C68*304.8,"")))</x:f>
        <x:v>736.5999999999999</x:v>
      </x:c>
      <x:c r="F68" s="13" t="n">
        <x:f>IF(E68="","",E68/25.4)</x:f>
        <x:v>28.999999999999996</x:v>
      </x:c>
      <x:c r="G68" s="11" t="str">
        <x:v>A</x:v>
      </x:c>
      <x:c r="H68" s="15" t="n">
        <x:v>4</x:v>
      </x:c>
      <x:c r="I68" s="11" t="str">
        <x:v>accessory_dimension</x:v>
      </x:c>
      <x:c r="J68" s="11" t="str">
        <x:v>Product installation; generation mapping unresolved</x:v>
      </x:c>
      <x:c r="K68" s="11" t="str">
        <x:v>S08</x:v>
      </x:c>
      <x:c r="L68" s="11" t="str">
        <x:v>https://bambeds.com/products/bambed-rivian-r1s</x:v>
      </x:c>
      <x:c r="M68" s="11" t="str">
        <x:v>Gen 1 and Gen 2 options; dimensions not individually scoped</x:v>
      </x:c>
      <x:c r="N68" s="11" t="str"/>
      <x:c r="O68" s="11" t="str">
        <x:v>No</x:v>
      </x:c>
      <x:c r="P68" s="11"/>
    </x:row>
    <x:row r="69" ht="40" customHeight="1">
      <x:c r="A69" s="10" t="str">
        <x:v>D065</x:v>
      </x:c>
      <x:c r="B69" s="10" t="str">
        <x:v>Platform underneath height from product floor</x:v>
      </x:c>
      <x:c r="C69" s="12" t="n">
        <x:v>7.4</x:v>
      </x:c>
      <x:c r="D69" s="12" t="str">
        <x:v>in</x:v>
      </x:c>
      <x:c r="E69" s="12" t="n">
        <x:f>IF(D69="mm",C69,IF(D69="in",C69*25.4,IF(D69="ft",C69*304.8,"")))</x:f>
        <x:v>187.96</x:v>
      </x:c>
      <x:c r="F69" s="12" t="n">
        <x:f>IF(E69="","",E69/25.4)</x:f>
        <x:v>7.4</x:v>
      </x:c>
      <x:c r="G69" s="10" t="str">
        <x:v>A</x:v>
      </x:c>
      <x:c r="H69" s="14" t="n">
        <x:v>4</x:v>
      </x:c>
      <x:c r="I69" s="10" t="str">
        <x:v>accessory_dimension</x:v>
      </x:c>
      <x:c r="J69" s="10" t="str">
        <x:v>Product installation; generation mapping unresolved</x:v>
      </x:c>
      <x:c r="K69" s="10" t="str">
        <x:v>S08</x:v>
      </x:c>
      <x:c r="L69" s="10" t="str">
        <x:v>https://bambeds.com/products/bambed-rivian-r1s</x:v>
      </x:c>
      <x:c r="M69" s="10" t="str">
        <x:v>Gen 1 and Gen 2 options; dimensions not individually scoped</x:v>
      </x:c>
      <x:c r="N69" s="10" t="str"/>
      <x:c r="O69" s="10" t="str">
        <x:v>No</x:v>
      </x:c>
      <x:c r="P69" s="10"/>
    </x:row>
    <x:row r="70" ht="40" customHeight="1">
      <x:c r="A70" s="11" t="str">
        <x:v>D066</x:v>
      </x:c>
      <x:c r="B70" s="11" t="str">
        <x:v>Platform underneath height at cargo basin</x:v>
      </x:c>
      <x:c r="C70" s="13" t="n">
        <x:v>21.7</x:v>
      </x:c>
      <x:c r="D70" s="13" t="str">
        <x:v>in</x:v>
      </x:c>
      <x:c r="E70" s="13" t="n">
        <x:f>IF(D70="mm",C70,IF(D70="in",C70*25.4,IF(D70="ft",C70*304.8,"")))</x:f>
        <x:v>551.18</x:v>
      </x:c>
      <x:c r="F70" s="13" t="n">
        <x:f>IF(E70="","",E70/25.4)</x:f>
        <x:v>21.7</x:v>
      </x:c>
      <x:c r="G70" s="11" t="str">
        <x:v>A</x:v>
      </x:c>
      <x:c r="H70" s="15" t="n">
        <x:v>4</x:v>
      </x:c>
      <x:c r="I70" s="11" t="str">
        <x:v>accessory_dimension</x:v>
      </x:c>
      <x:c r="J70" s="11" t="str">
        <x:v>Product installation; generation mapping unresolved</x:v>
      </x:c>
      <x:c r="K70" s="11" t="str">
        <x:v>S08</x:v>
      </x:c>
      <x:c r="L70" s="11" t="str">
        <x:v>https://bambeds.com/products/bambed-rivian-r1s</x:v>
      </x:c>
      <x:c r="M70" s="11" t="str">
        <x:v>Gen 1 and Gen 2 options; dimensions not individually scoped</x:v>
      </x:c>
      <x:c r="N70" s="11" t="str"/>
      <x:c r="O70" s="11" t="str">
        <x:v>No</x:v>
      </x:c>
      <x:c r="P70" s="11"/>
    </x:row>
    <x:row r="71" ht="40" customHeight="1">
      <x:c r="A71" s="10" t="str">
        <x:v>D067</x:v>
      </x:c>
      <x:c r="B71" s="10" t="str">
        <x:v>Cargo cover width</x:v>
      </x:c>
      <x:c r="C71" s="12" t="n">
        <x:v>4.3</x:v>
      </x:c>
      <x:c r="D71" s="12" t="str">
        <x:v>ft</x:v>
      </x:c>
      <x:c r="E71" s="12" t="n">
        <x:f>IF(D71="mm",C71,IF(D71="in",C71*25.4,IF(D71="ft",C71*304.8,"")))</x:f>
        <x:v>1310.64</x:v>
      </x:c>
      <x:c r="F71" s="12" t="n">
        <x:f>IF(E71="","",E71/25.4)</x:f>
        <x:v>51.60000000000001</x:v>
      </x:c>
      <x:c r="G71" s="10" t="str">
        <x:v>A</x:v>
      </x:c>
      <x:c r="H71" s="14" t="n">
        <x:v>5</x:v>
      </x:c>
      <x:c r="I71" s="10" t="str">
        <x:v>accessory_dimension</x:v>
      </x:c>
      <x:c r="J71" s="10" t="str">
        <x:v>Unspecified</x:v>
      </x:c>
      <x:c r="K71" s="10" t="str">
        <x:v>S09</x:v>
      </x:c>
      <x:c r="L71" s="10" t="str">
        <x:v>https://gearshop.rivian.com/products/r1s-cargo-cover</x:v>
      </x:c>
      <x:c r="M71" s="10" t="str">
        <x:v>Current accessory listing; generation unspecified</x:v>
      </x:c>
      <x:c r="N71" s="10" t="str"/>
      <x:c r="O71" s="10" t="str">
        <x:v>No</x:v>
      </x:c>
      <x:c r="P71" s="10"/>
    </x:row>
    <x:row r="72" ht="40" customHeight="1">
      <x:c r="A72" s="11" t="str">
        <x:v>D068</x:v>
      </x:c>
      <x:c r="B72" s="11" t="str">
        <x:v>Cargo cover minimum length</x:v>
      </x:c>
      <x:c r="C72" s="13" t="n">
        <x:v>1.5</x:v>
      </x:c>
      <x:c r="D72" s="13" t="str">
        <x:v>ft</x:v>
      </x:c>
      <x:c r="E72" s="13" t="n">
        <x:f>IF(D72="mm",C72,IF(D72="in",C72*25.4,IF(D72="ft",C72*304.8,"")))</x:f>
        <x:v>457.20000000000005</x:v>
      </x:c>
      <x:c r="F72" s="13" t="n">
        <x:f>IF(E72="","",E72/25.4)</x:f>
        <x:v>18.000000000000004</x:v>
      </x:c>
      <x:c r="G72" s="11" t="str">
        <x:v>A</x:v>
      </x:c>
      <x:c r="H72" s="15" t="n">
        <x:v>5</x:v>
      </x:c>
      <x:c r="I72" s="11" t="str">
        <x:v>accessory_dimension</x:v>
      </x:c>
      <x:c r="J72" s="11" t="str">
        <x:v>Unspecified</x:v>
      </x:c>
      <x:c r="K72" s="11" t="str">
        <x:v>S09</x:v>
      </x:c>
      <x:c r="L72" s="11" t="str">
        <x:v>https://gearshop.rivian.com/products/r1s-cargo-cover</x:v>
      </x:c>
      <x:c r="M72" s="11" t="str">
        <x:v>Current accessory listing; generation unspecified</x:v>
      </x:c>
      <x:c r="N72" s="11" t="str"/>
      <x:c r="O72" s="11" t="str">
        <x:v>No</x:v>
      </x:c>
      <x:c r="P72" s="11"/>
    </x:row>
    <x:row r="73" ht="40" customHeight="1">
      <x:c r="A73" s="10" t="str">
        <x:v>D069</x:v>
      </x:c>
      <x:c r="B73" s="10" t="str">
        <x:v>Cargo cover maximum length</x:v>
      </x:c>
      <x:c r="C73" s="12" t="n">
        <x:v>3.3</x:v>
      </x:c>
      <x:c r="D73" s="12" t="str">
        <x:v>ft</x:v>
      </x:c>
      <x:c r="E73" s="12" t="n">
        <x:f>IF(D73="mm",C73,IF(D73="in",C73*25.4,IF(D73="ft",C73*304.8,"")))</x:f>
        <x:v>1005.84</x:v>
      </x:c>
      <x:c r="F73" s="12" t="n">
        <x:f>IF(E73="","",E73/25.4)</x:f>
        <x:v>39.6</x:v>
      </x:c>
      <x:c r="G73" s="10" t="str">
        <x:v>A</x:v>
      </x:c>
      <x:c r="H73" s="14" t="n">
        <x:v>5</x:v>
      </x:c>
      <x:c r="I73" s="10" t="str">
        <x:v>accessory_dimension</x:v>
      </x:c>
      <x:c r="J73" s="10" t="str">
        <x:v>Unspecified</x:v>
      </x:c>
      <x:c r="K73" s="10" t="str">
        <x:v>S09</x:v>
      </x:c>
      <x:c r="L73" s="10" t="str">
        <x:v>https://gearshop.rivian.com/products/r1s-cargo-cover</x:v>
      </x:c>
      <x:c r="M73" s="10" t="str">
        <x:v>Current accessory listing; generation unspecified</x:v>
      </x:c>
      <x:c r="N73" s="10" t="str"/>
      <x:c r="O73" s="10" t="str">
        <x:v>No</x:v>
      </x:c>
      <x:c r="P73" s="10"/>
    </x:row>
  </x:sheetData>
  <x:pageMargins left="0.7" right="0.7" top="0.75" bottom="0.75" header="0.3" footer="0.3"/>
  <x:tableParts count="1">
    <x:tablePart xmlns:r="http://schemas.openxmlformats.org/officeDocument/2006/relationships" r:id="R7a99a591292e4c8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47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37" hidden="0" customWidth="1"/>
    <x:col min="8" max="8" width="36" hidden="0" customWidth="1"/>
    <x:col min="9" max="9" width="38" hidden="0" customWidth="1"/>
    <x:col min="10" max="10" width="24" hidden="0" customWidth="1"/>
    <x:col min="11" max="11" width="58" hidden="0" customWidth="1"/>
  </x:cols>
  <x:sheetData>
    <x:row r="1">
      <x:c r="A1" s="3" t="str">
        <x:v>First vehicle measurements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4" t="str">
        <x:v>Enter three reset readings in mm. See START_HERE.md for exact endpoints. Blank means unmeasured.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4" customHeight="1">
      <x:c r="A4" s="8" t="str">
        <x:v>ID</x:v>
      </x:c>
      <x:c r="B4" s="8" t="str">
        <x:v>Measurement</x:v>
      </x:c>
      <x:c r="C4" s="8" t="str">
        <x:v>Reading 1 mm</x:v>
      </x:c>
      <x:c r="D4" s="8" t="str">
        <x:v>Reading 2 mm</x:v>
      </x:c>
      <x:c r="E4" s="8" t="str">
        <x:v>Reading 3 mm</x:v>
      </x:c>
      <x:c r="F4" s="8" t="str">
        <x:v>Second span mm</x:v>
      </x:c>
      <x:c r="G4" s="8" t="str">
        <x:v>Height reference</x:v>
      </x:c>
      <x:c r="H4" s="8" t="str">
        <x:v>Configuration</x:v>
      </x:c>
      <x:c r="I4" s="8" t="str">
        <x:v>Endpoint photo IDs</x:v>
      </x:c>
      <x:c r="J4" s="8" t="str">
        <x:v>Tool</x:v>
      </x:c>
      <x:c r="K4" s="8" t="str">
        <x:v>Notes</x:v>
      </x:c>
    </x:row>
    <x:row r="5" ht="34" customHeight="1">
      <x:c r="A5" s="10" t="str">
        <x:v>F01</x:v>
      </x:c>
      <x:c r="B5" s="10" t="str">
        <x:v>Door trim width, row 2 cushion-front level</x:v>
      </x:c>
      <x:c r="C5" s="17"/>
      <x:c r="D5" s="17"/>
      <x:c r="E5" s="17"/>
      <x:c r="F5" s="17"/>
      <x:c r="G5" s="16"/>
      <x:c r="H5" s="16"/>
      <x:c r="I5" s="16"/>
      <x:c r="J5" s="16"/>
      <x:c r="K5" s="16"/>
    </x:row>
    <x:row r="6" ht="34" customHeight="1">
      <x:c r="A6" s="11" t="str">
        <x:v>F02</x:v>
      </x:c>
      <x:c r="B6" s="11" t="str">
        <x:v>Door trim width, row 2 armrest level</x:v>
      </x:c>
      <x:c r="C6" s="17"/>
      <x:c r="D6" s="17"/>
      <x:c r="E6" s="17"/>
      <x:c r="F6" s="17"/>
      <x:c r="G6" s="16"/>
      <x:c r="H6" s="16"/>
      <x:c r="I6" s="16"/>
      <x:c r="J6" s="16"/>
      <x:c r="K6" s="16"/>
    </x:row>
    <x:row r="7" ht="34" customHeight="1">
      <x:c r="A7" s="10" t="str">
        <x:v>F03</x:v>
      </x:c>
      <x:c r="B7" s="10" t="str">
        <x:v>Left front seatback to row 3 front</x:v>
      </x:c>
      <x:c r="C7" s="17"/>
      <x:c r="D7" s="17"/>
      <x:c r="E7" s="17"/>
      <x:c r="F7" s="17"/>
      <x:c r="G7" s="16"/>
      <x:c r="H7" s="16"/>
      <x:c r="I7" s="16"/>
      <x:c r="J7" s="16"/>
      <x:c r="K7" s="16"/>
    </x:row>
    <x:row r="8" ht="34" customHeight="1">
      <x:c r="A8" s="11" t="str">
        <x:v>F04</x:v>
      </x:c>
      <x:c r="B8" s="11" t="str">
        <x:v>Right front seatback to row 3 front</x:v>
      </x:c>
      <x:c r="C8" s="17"/>
      <x:c r="D8" s="17"/>
      <x:c r="E8" s="17"/>
      <x:c r="F8" s="17"/>
      <x:c r="G8" s="16"/>
      <x:c r="H8" s="16"/>
      <x:c r="I8" s="16"/>
      <x:c r="J8" s="16"/>
      <x:c r="K8" s="16"/>
    </x:row>
    <x:row r="9" ht="34" customHeight="1">
      <x:c r="A9" s="10" t="str">
        <x:v>F05</x:v>
      </x:c>
      <x:c r="B9" s="10" t="str">
        <x:v>Left rear-door opening dimensions</x:v>
      </x:c>
      <x:c r="C9" s="17"/>
      <x:c r="D9" s="17"/>
      <x:c r="E9" s="17"/>
      <x:c r="F9" s="17"/>
      <x:c r="G9" s="16"/>
      <x:c r="H9" s="16"/>
      <x:c r="I9" s="16"/>
      <x:c r="J9" s="16"/>
      <x:c r="K9" s="16"/>
    </x:row>
    <x:row r="10" ht="34" customHeight="1">
      <x:c r="A10" s="11" t="str">
        <x:v>F06</x:v>
      </x:c>
      <x:c r="B10" s="11" t="str">
        <x:v>Right rear-door opening dimensions</x:v>
      </x:c>
      <x:c r="C10" s="17"/>
      <x:c r="D10" s="17"/>
      <x:c r="E10" s="17"/>
      <x:c r="F10" s="17"/>
      <x:c r="G10" s="16"/>
      <x:c r="H10" s="16"/>
      <x:c r="I10" s="16"/>
      <x:c r="J10" s="16"/>
      <x:c r="K10" s="16"/>
    </x:row>
    <x:row r="11" ht="34" customHeight="1">
      <x:c r="A11" s="10" t="str">
        <x:v>F07</x:v>
      </x:c>
      <x:c r="B11" s="10" t="str">
        <x:v>Narrow rear trim and floor widths</x:v>
      </x:c>
      <x:c r="C11" s="17"/>
      <x:c r="D11" s="17"/>
      <x:c r="E11" s="17"/>
      <x:c r="F11" s="17"/>
      <x:c r="G11" s="16"/>
      <x:c r="H11" s="16"/>
      <x:c r="I11" s="16"/>
      <x:c r="J11" s="16"/>
      <x:c r="K11" s="16"/>
    </x:row>
    <x:row r="12" ht="34" customHeight="1">
      <x:c r="A12" s="11" t="str">
        <x:v>F08</x:v>
      </x:c>
      <x:c r="B12" s="11" t="str">
        <x:v>Cargo depth, row 3 up, hatch closed</x:v>
      </x:c>
      <x:c r="C12" s="17"/>
      <x:c r="D12" s="17"/>
      <x:c r="E12" s="17"/>
      <x:c r="F12" s="17"/>
      <x:c r="G12" s="16"/>
      <x:c r="H12" s="16"/>
      <x:c r="I12" s="16"/>
      <x:c r="J12" s="16"/>
      <x:c r="K12" s="16"/>
    </x:row>
  </x:sheetData>
  <x:pageMargins left="0.7" right="0.7" top="0.75" bottom="0.75" header="0.3" footer="0.3"/>
  <x:tableParts count="1">
    <x:tablePart xmlns:r="http://schemas.openxmlformats.org/officeDocument/2006/relationships" r:id="Rad149481e06448b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38" hidden="0" customWidth="1"/>
    <x:col min="3" max="3" width="15" hidden="0" customWidth="1"/>
    <x:col min="4" max="4" width="16" hidden="0" customWidth="1"/>
    <x:col min="5" max="5" width="17" hidden="0" customWidth="1"/>
    <x:col min="6" max="6" width="1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6" hidden="0" customWidth="1"/>
    <x:col min="12" max="12" width="40" hidden="0" customWidth="1"/>
  </x:cols>
  <x:sheetData>
    <x:row r="1">
      <x:c r="A1" s="3" t="str">
        <x:v>Cabin cross-section observations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4" t="str">
        <x:v>Target Z levels are sampling instructions. Record actual XYZ in the approved datum; do not split width equally.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4" customHeight="1">
      <x:c r="A4" s="8" t="str">
        <x:v>Station</x:v>
      </x:c>
      <x:c r="B4" s="8" t="str">
        <x:v>Landmark</x:v>
      </x:c>
      <x:c r="C4" s="8" t="str">
        <x:v>Sample</x:v>
      </x:c>
      <x:c r="D4" s="8" t="str">
        <x:v>Target Z mm</x:v>
      </x:c>
      <x:c r="E4" s="8" t="str">
        <x:v>Measured X mm</x:v>
      </x:c>
      <x:c r="F4" s="8" t="str">
        <x:v>Measured Z mm</x:v>
      </x:c>
      <x:c r="G4" s="8" t="str">
        <x:v>Left Y mm</x:v>
      </x:c>
      <x:c r="H4" s="8" t="str">
        <x:v>Right Y mm</x:v>
      </x:c>
      <x:c r="I4" s="8" t="str">
        <x:v>Width mm</x:v>
      </x:c>
      <x:c r="J4" s="8" t="str">
        <x:v>Width in</x:v>
      </x:c>
      <x:c r="K4" s="8" t="str">
        <x:v>Configuration</x:v>
      </x:c>
      <x:c r="L4" s="8" t="str">
        <x:v>Photo/point IDs</x:v>
      </x:c>
    </x:row>
    <x:row r="5" ht="34" customHeight="1">
      <x:c r="A5" s="10" t="str">
        <x:v>A</x:v>
      </x:c>
      <x:c r="B5" s="10" t="str">
        <x:v>Rear of front seats</x:v>
      </x:c>
      <x:c r="C5" s="10" t="str">
        <x:v>floor</x:v>
      </x:c>
      <x:c r="D5" s="18"/>
      <x:c r="E5" s="17"/>
      <x:c r="F5" s="17"/>
      <x:c r="G5" s="17"/>
      <x:c r="H5" s="17"/>
      <x:c r="I5" s="18" t="str">
        <x:f>IF(COUNT(G5:H5)&lt;2,"",G5-H5)</x:f>
      </x:c>
      <x:c r="J5" s="18" t="str">
        <x:f>IF(COUNT(I5)=0,"",I5/25.4)</x:f>
      </x:c>
      <x:c r="K5" s="10"/>
      <x:c r="L5" s="10"/>
    </x:row>
    <x:row r="6" ht="34" customHeight="1">
      <x:c r="A6" s="11" t="str">
        <x:v>A</x:v>
      </x:c>
      <x:c r="B6" s="11" t="str">
        <x:v>Rear of front seats</x:v>
      </x:c>
      <x:c r="C6" s="11" t="str">
        <x:v>150</x:v>
      </x:c>
      <x:c r="D6" s="19" t="n">
        <x:v>150</x:v>
      </x:c>
      <x:c r="E6" s="17"/>
      <x:c r="F6" s="17"/>
      <x:c r="G6" s="17"/>
      <x:c r="H6" s="17"/>
      <x:c r="I6" s="19" t="str">
        <x:f>IF(COUNT(G6:H6)&lt;2,"",G6-H6)</x:f>
      </x:c>
      <x:c r="J6" s="19" t="str">
        <x:f>IF(COUNT(I6)=0,"",I6/25.4)</x:f>
      </x:c>
      <x:c r="K6" s="11"/>
      <x:c r="L6" s="11"/>
    </x:row>
    <x:row r="7" ht="34" customHeight="1">
      <x:c r="A7" s="10" t="str">
        <x:v>A</x:v>
      </x:c>
      <x:c r="B7" s="10" t="str">
        <x:v>Rear of front seats</x:v>
      </x:c>
      <x:c r="C7" s="10" t="str">
        <x:v>300</x:v>
      </x:c>
      <x:c r="D7" s="18" t="n">
        <x:v>300</x:v>
      </x:c>
      <x:c r="E7" s="17"/>
      <x:c r="F7" s="17"/>
      <x:c r="G7" s="17"/>
      <x:c r="H7" s="17"/>
      <x:c r="I7" s="18" t="str">
        <x:f>IF(COUNT(G7:H7)&lt;2,"",G7-H7)</x:f>
      </x:c>
      <x:c r="J7" s="18" t="str">
        <x:f>IF(COUNT(I7)=0,"",I7/25.4)</x:f>
      </x:c>
      <x:c r="K7" s="10"/>
      <x:c r="L7" s="10"/>
    </x:row>
    <x:row r="8" ht="34" customHeight="1">
      <x:c r="A8" s="11" t="str">
        <x:v>A</x:v>
      </x:c>
      <x:c r="B8" s="11" t="str">
        <x:v>Rear of front seats</x:v>
      </x:c>
      <x:c r="C8" s="11" t="str">
        <x:v>450</x:v>
      </x:c>
      <x:c r="D8" s="19" t="n">
        <x:v>450</x:v>
      </x:c>
      <x:c r="E8" s="17"/>
      <x:c r="F8" s="17"/>
      <x:c r="G8" s="17"/>
      <x:c r="H8" s="17"/>
      <x:c r="I8" s="19" t="str">
        <x:f>IF(COUNT(G8:H8)&lt;2,"",G8-H8)</x:f>
      </x:c>
      <x:c r="J8" s="19" t="str">
        <x:f>IF(COUNT(I8)=0,"",I8/25.4)</x:f>
      </x:c>
      <x:c r="K8" s="11"/>
      <x:c r="L8" s="11"/>
    </x:row>
    <x:row r="9" ht="34" customHeight="1">
      <x:c r="A9" s="10" t="str">
        <x:v>A</x:v>
      </x:c>
      <x:c r="B9" s="10" t="str">
        <x:v>Rear of front seats</x:v>
      </x:c>
      <x:c r="C9" s="10" t="str">
        <x:v>600</x:v>
      </x:c>
      <x:c r="D9" s="18" t="n">
        <x:v>600</x:v>
      </x:c>
      <x:c r="E9" s="17"/>
      <x:c r="F9" s="17"/>
      <x:c r="G9" s="17"/>
      <x:c r="H9" s="17"/>
      <x:c r="I9" s="18" t="str">
        <x:f>IF(COUNT(G9:H9)&lt;2,"",G9-H9)</x:f>
      </x:c>
      <x:c r="J9" s="18" t="str">
        <x:f>IF(COUNT(I9)=0,"",I9/25.4)</x:f>
      </x:c>
      <x:c r="K9" s="10"/>
      <x:c r="L9" s="10"/>
    </x:row>
    <x:row r="10" ht="34" customHeight="1">
      <x:c r="A10" s="11" t="str">
        <x:v>A</x:v>
      </x:c>
      <x:c r="B10" s="11" t="str">
        <x:v>Rear of front seats</x:v>
      </x:c>
      <x:c r="C10" s="11" t="str">
        <x:v>750</x:v>
      </x:c>
      <x:c r="D10" s="19" t="n">
        <x:v>750</x:v>
      </x:c>
      <x:c r="E10" s="17"/>
      <x:c r="F10" s="17"/>
      <x:c r="G10" s="17"/>
      <x:c r="H10" s="17"/>
      <x:c r="I10" s="19" t="str">
        <x:f>IF(COUNT(G10:H10)&lt;2,"",G10-H10)</x:f>
      </x:c>
      <x:c r="J10" s="19" t="str">
        <x:f>IF(COUNT(I10)=0,"",I10/25.4)</x:f>
      </x:c>
      <x:c r="K10" s="11"/>
      <x:c r="L10" s="11"/>
    </x:row>
    <x:row r="11" ht="34" customHeight="1">
      <x:c r="A11" s="10" t="str">
        <x:v>A</x:v>
      </x:c>
      <x:c r="B11" s="10" t="str">
        <x:v>Rear of front seats</x:v>
      </x:c>
      <x:c r="C11" s="10" t="str">
        <x:v>900</x:v>
      </x:c>
      <x:c r="D11" s="18" t="n">
        <x:v>900</x:v>
      </x:c>
      <x:c r="E11" s="17"/>
      <x:c r="F11" s="17"/>
      <x:c r="G11" s="17"/>
      <x:c r="H11" s="17"/>
      <x:c r="I11" s="18" t="str">
        <x:f>IF(COUNT(G11:H11)&lt;2,"",G11-H11)</x:f>
      </x:c>
      <x:c r="J11" s="18" t="str">
        <x:f>IF(COUNT(I11)=0,"",I11/25.4)</x:f>
      </x:c>
      <x:c r="K11" s="10"/>
      <x:c r="L11" s="10"/>
    </x:row>
    <x:row r="12" ht="34" customHeight="1">
      <x:c r="A12" s="11" t="str">
        <x:v>A</x:v>
      </x:c>
      <x:c r="B12" s="11" t="str">
        <x:v>Rear of front seats</x:v>
      </x:c>
      <x:c r="C12" s="11" t="str">
        <x:v>beltline</x:v>
      </x:c>
      <x:c r="D12" s="19"/>
      <x:c r="E12" s="17"/>
      <x:c r="F12" s="17"/>
      <x:c r="G12" s="17"/>
      <x:c r="H12" s="17"/>
      <x:c r="I12" s="19" t="str">
        <x:f>IF(COUNT(G12:H12)&lt;2,"",G12-H12)</x:f>
      </x:c>
      <x:c r="J12" s="19" t="str">
        <x:f>IF(COUNT(I12)=0,"",I12/25.4)</x:f>
      </x:c>
      <x:c r="K12" s="11"/>
      <x:c r="L12" s="11"/>
    </x:row>
    <x:row r="13" ht="34" customHeight="1">
      <x:c r="A13" s="10" t="str">
        <x:v>A</x:v>
      </x:c>
      <x:c r="B13" s="10" t="str">
        <x:v>Rear of front seats</x:v>
      </x:c>
      <x:c r="C13" s="10" t="str">
        <x:v>headliner</x:v>
      </x:c>
      <x:c r="D13" s="18"/>
      <x:c r="E13" s="17"/>
      <x:c r="F13" s="17"/>
      <x:c r="G13" s="17"/>
      <x:c r="H13" s="17"/>
      <x:c r="I13" s="18" t="str">
        <x:f>IF(COUNT(G13:H13)&lt;2,"",G13-H13)</x:f>
      </x:c>
      <x:c r="J13" s="18" t="str">
        <x:f>IF(COUNT(I13)=0,"",I13/25.4)</x:f>
      </x:c>
      <x:c r="K13" s="10"/>
      <x:c r="L13" s="10"/>
    </x:row>
    <x:row r="14" ht="34" customHeight="1">
      <x:c r="A14" s="11" t="str">
        <x:v>B</x:v>
      </x:c>
      <x:c r="B14" s="11" t="str">
        <x:v>Row 2 cushion front</x:v>
      </x:c>
      <x:c r="C14" s="11" t="str">
        <x:v>floor</x:v>
      </x:c>
      <x:c r="D14" s="19"/>
      <x:c r="E14" s="17"/>
      <x:c r="F14" s="17"/>
      <x:c r="G14" s="17"/>
      <x:c r="H14" s="17"/>
      <x:c r="I14" s="19" t="str">
        <x:f>IF(COUNT(G14:H14)&lt;2,"",G14-H14)</x:f>
      </x:c>
      <x:c r="J14" s="19" t="str">
        <x:f>IF(COUNT(I14)=0,"",I14/25.4)</x:f>
      </x:c>
      <x:c r="K14" s="11"/>
      <x:c r="L14" s="11"/>
    </x:row>
    <x:row r="15" ht="34" customHeight="1">
      <x:c r="A15" s="10" t="str">
        <x:v>B</x:v>
      </x:c>
      <x:c r="B15" s="10" t="str">
        <x:v>Row 2 cushion front</x:v>
      </x:c>
      <x:c r="C15" s="10" t="str">
        <x:v>150</x:v>
      </x:c>
      <x:c r="D15" s="18" t="n">
        <x:v>150</x:v>
      </x:c>
      <x:c r="E15" s="17"/>
      <x:c r="F15" s="17"/>
      <x:c r="G15" s="17"/>
      <x:c r="H15" s="17"/>
      <x:c r="I15" s="18" t="str">
        <x:f>IF(COUNT(G15:H15)&lt;2,"",G15-H15)</x:f>
      </x:c>
      <x:c r="J15" s="18" t="str">
        <x:f>IF(COUNT(I15)=0,"",I15/25.4)</x:f>
      </x:c>
      <x:c r="K15" s="10"/>
      <x:c r="L15" s="10"/>
    </x:row>
    <x:row r="16" ht="34" customHeight="1">
      <x:c r="A16" s="11" t="str">
        <x:v>B</x:v>
      </x:c>
      <x:c r="B16" s="11" t="str">
        <x:v>Row 2 cushion front</x:v>
      </x:c>
      <x:c r="C16" s="11" t="str">
        <x:v>300</x:v>
      </x:c>
      <x:c r="D16" s="19" t="n">
        <x:v>300</x:v>
      </x:c>
      <x:c r="E16" s="17"/>
      <x:c r="F16" s="17"/>
      <x:c r="G16" s="17"/>
      <x:c r="H16" s="17"/>
      <x:c r="I16" s="19" t="str">
        <x:f>IF(COUNT(G16:H16)&lt;2,"",G16-H16)</x:f>
      </x:c>
      <x:c r="J16" s="19" t="str">
        <x:f>IF(COUNT(I16)=0,"",I16/25.4)</x:f>
      </x:c>
      <x:c r="K16" s="11"/>
      <x:c r="L16" s="11"/>
    </x:row>
    <x:row r="17" ht="34" customHeight="1">
      <x:c r="A17" s="10" t="str">
        <x:v>B</x:v>
      </x:c>
      <x:c r="B17" s="10" t="str">
        <x:v>Row 2 cushion front</x:v>
      </x:c>
      <x:c r="C17" s="10" t="str">
        <x:v>450</x:v>
      </x:c>
      <x:c r="D17" s="18" t="n">
        <x:v>450</x:v>
      </x:c>
      <x:c r="E17" s="17"/>
      <x:c r="F17" s="17"/>
      <x:c r="G17" s="17"/>
      <x:c r="H17" s="17"/>
      <x:c r="I17" s="18" t="str">
        <x:f>IF(COUNT(G17:H17)&lt;2,"",G17-H17)</x:f>
      </x:c>
      <x:c r="J17" s="18" t="str">
        <x:f>IF(COUNT(I17)=0,"",I17/25.4)</x:f>
      </x:c>
      <x:c r="K17" s="10"/>
      <x:c r="L17" s="10"/>
    </x:row>
    <x:row r="18" ht="34" customHeight="1">
      <x:c r="A18" s="11" t="str">
        <x:v>B</x:v>
      </x:c>
      <x:c r="B18" s="11" t="str">
        <x:v>Row 2 cushion front</x:v>
      </x:c>
      <x:c r="C18" s="11" t="str">
        <x:v>600</x:v>
      </x:c>
      <x:c r="D18" s="19" t="n">
        <x:v>600</x:v>
      </x:c>
      <x:c r="E18" s="17"/>
      <x:c r="F18" s="17"/>
      <x:c r="G18" s="17"/>
      <x:c r="H18" s="17"/>
      <x:c r="I18" s="19" t="str">
        <x:f>IF(COUNT(G18:H18)&lt;2,"",G18-H18)</x:f>
      </x:c>
      <x:c r="J18" s="19" t="str">
        <x:f>IF(COUNT(I18)=0,"",I18/25.4)</x:f>
      </x:c>
      <x:c r="K18" s="11"/>
      <x:c r="L18" s="11"/>
    </x:row>
    <x:row r="19" ht="34" customHeight="1">
      <x:c r="A19" s="10" t="str">
        <x:v>B</x:v>
      </x:c>
      <x:c r="B19" s="10" t="str">
        <x:v>Row 2 cushion front</x:v>
      </x:c>
      <x:c r="C19" s="10" t="str">
        <x:v>750</x:v>
      </x:c>
      <x:c r="D19" s="18" t="n">
        <x:v>750</x:v>
      </x:c>
      <x:c r="E19" s="17"/>
      <x:c r="F19" s="17"/>
      <x:c r="G19" s="17"/>
      <x:c r="H19" s="17"/>
      <x:c r="I19" s="18" t="str">
        <x:f>IF(COUNT(G19:H19)&lt;2,"",G19-H19)</x:f>
      </x:c>
      <x:c r="J19" s="18" t="str">
        <x:f>IF(COUNT(I19)=0,"",I19/25.4)</x:f>
      </x:c>
      <x:c r="K19" s="10"/>
      <x:c r="L19" s="10"/>
    </x:row>
    <x:row r="20" ht="34" customHeight="1">
      <x:c r="A20" s="11" t="str">
        <x:v>B</x:v>
      </x:c>
      <x:c r="B20" s="11" t="str">
        <x:v>Row 2 cushion front</x:v>
      </x:c>
      <x:c r="C20" s="11" t="str">
        <x:v>900</x:v>
      </x:c>
      <x:c r="D20" s="19" t="n">
        <x:v>900</x:v>
      </x:c>
      <x:c r="E20" s="17"/>
      <x:c r="F20" s="17"/>
      <x:c r="G20" s="17"/>
      <x:c r="H20" s="17"/>
      <x:c r="I20" s="19" t="str">
        <x:f>IF(COUNT(G20:H20)&lt;2,"",G20-H20)</x:f>
      </x:c>
      <x:c r="J20" s="19" t="str">
        <x:f>IF(COUNT(I20)=0,"",I20/25.4)</x:f>
      </x:c>
      <x:c r="K20" s="11"/>
      <x:c r="L20" s="11"/>
    </x:row>
    <x:row r="21" ht="34" customHeight="1">
      <x:c r="A21" s="10" t="str">
        <x:v>B</x:v>
      </x:c>
      <x:c r="B21" s="10" t="str">
        <x:v>Row 2 cushion front</x:v>
      </x:c>
      <x:c r="C21" s="10" t="str">
        <x:v>beltline</x:v>
      </x:c>
      <x:c r="D21" s="18"/>
      <x:c r="E21" s="17"/>
      <x:c r="F21" s="17"/>
      <x:c r="G21" s="17"/>
      <x:c r="H21" s="17"/>
      <x:c r="I21" s="18" t="str">
        <x:f>IF(COUNT(G21:H21)&lt;2,"",G21-H21)</x:f>
      </x:c>
      <x:c r="J21" s="18" t="str">
        <x:f>IF(COUNT(I21)=0,"",I21/25.4)</x:f>
      </x:c>
      <x:c r="K21" s="10"/>
      <x:c r="L21" s="10"/>
    </x:row>
    <x:row r="22" ht="34" customHeight="1">
      <x:c r="A22" s="11" t="str">
        <x:v>B</x:v>
      </x:c>
      <x:c r="B22" s="11" t="str">
        <x:v>Row 2 cushion front</x:v>
      </x:c>
      <x:c r="C22" s="11" t="str">
        <x:v>headliner</x:v>
      </x:c>
      <x:c r="D22" s="19"/>
      <x:c r="E22" s="17"/>
      <x:c r="F22" s="17"/>
      <x:c r="G22" s="17"/>
      <x:c r="H22" s="17"/>
      <x:c r="I22" s="19" t="str">
        <x:f>IF(COUNT(G22:H22)&lt;2,"",G22-H22)</x:f>
      </x:c>
      <x:c r="J22" s="19" t="str">
        <x:f>IF(COUNT(I22)=0,"",I22/25.4)</x:f>
      </x:c>
      <x:c r="K22" s="11"/>
      <x:c r="L22" s="11"/>
    </x:row>
    <x:row r="23" ht="34" customHeight="1">
      <x:c r="A23" s="10" t="str">
        <x:v>C</x:v>
      </x:c>
      <x:c r="B23" s="10" t="str">
        <x:v>Row 2 cushion midpoint</x:v>
      </x:c>
      <x:c r="C23" s="10" t="str">
        <x:v>floor</x:v>
      </x:c>
      <x:c r="D23" s="18"/>
      <x:c r="E23" s="17"/>
      <x:c r="F23" s="17"/>
      <x:c r="G23" s="17"/>
      <x:c r="H23" s="17"/>
      <x:c r="I23" s="18" t="str">
        <x:f>IF(COUNT(G23:H23)&lt;2,"",G23-H23)</x:f>
      </x:c>
      <x:c r="J23" s="18" t="str">
        <x:f>IF(COUNT(I23)=0,"",I23/25.4)</x:f>
      </x:c>
      <x:c r="K23" s="10"/>
      <x:c r="L23" s="10"/>
    </x:row>
    <x:row r="24" ht="34" customHeight="1">
      <x:c r="A24" s="11" t="str">
        <x:v>C</x:v>
      </x:c>
      <x:c r="B24" s="11" t="str">
        <x:v>Row 2 cushion midpoint</x:v>
      </x:c>
      <x:c r="C24" s="11" t="str">
        <x:v>150</x:v>
      </x:c>
      <x:c r="D24" s="19" t="n">
        <x:v>150</x:v>
      </x:c>
      <x:c r="E24" s="17"/>
      <x:c r="F24" s="17"/>
      <x:c r="G24" s="17"/>
      <x:c r="H24" s="17"/>
      <x:c r="I24" s="19" t="str">
        <x:f>IF(COUNT(G24:H24)&lt;2,"",G24-H24)</x:f>
      </x:c>
      <x:c r="J24" s="19" t="str">
        <x:f>IF(COUNT(I24)=0,"",I24/25.4)</x:f>
      </x:c>
      <x:c r="K24" s="11"/>
      <x:c r="L24" s="11"/>
    </x:row>
    <x:row r="25" ht="34" customHeight="1">
      <x:c r="A25" s="10" t="str">
        <x:v>C</x:v>
      </x:c>
      <x:c r="B25" s="10" t="str">
        <x:v>Row 2 cushion midpoint</x:v>
      </x:c>
      <x:c r="C25" s="10" t="str">
        <x:v>300</x:v>
      </x:c>
      <x:c r="D25" s="18" t="n">
        <x:v>300</x:v>
      </x:c>
      <x:c r="E25" s="17"/>
      <x:c r="F25" s="17"/>
      <x:c r="G25" s="17"/>
      <x:c r="H25" s="17"/>
      <x:c r="I25" s="18" t="str">
        <x:f>IF(COUNT(G25:H25)&lt;2,"",G25-H25)</x:f>
      </x:c>
      <x:c r="J25" s="18" t="str">
        <x:f>IF(COUNT(I25)=0,"",I25/25.4)</x:f>
      </x:c>
      <x:c r="K25" s="10"/>
      <x:c r="L25" s="10"/>
    </x:row>
    <x:row r="26" ht="34" customHeight="1">
      <x:c r="A26" s="11" t="str">
        <x:v>C</x:v>
      </x:c>
      <x:c r="B26" s="11" t="str">
        <x:v>Row 2 cushion midpoint</x:v>
      </x:c>
      <x:c r="C26" s="11" t="str">
        <x:v>450</x:v>
      </x:c>
      <x:c r="D26" s="19" t="n">
        <x:v>450</x:v>
      </x:c>
      <x:c r="E26" s="17"/>
      <x:c r="F26" s="17"/>
      <x:c r="G26" s="17"/>
      <x:c r="H26" s="17"/>
      <x:c r="I26" s="19" t="str">
        <x:f>IF(COUNT(G26:H26)&lt;2,"",G26-H26)</x:f>
      </x:c>
      <x:c r="J26" s="19" t="str">
        <x:f>IF(COUNT(I26)=0,"",I26/25.4)</x:f>
      </x:c>
      <x:c r="K26" s="11"/>
      <x:c r="L26" s="11"/>
    </x:row>
    <x:row r="27" ht="34" customHeight="1">
      <x:c r="A27" s="10" t="str">
        <x:v>C</x:v>
      </x:c>
      <x:c r="B27" s="10" t="str">
        <x:v>Row 2 cushion midpoint</x:v>
      </x:c>
      <x:c r="C27" s="10" t="str">
        <x:v>600</x:v>
      </x:c>
      <x:c r="D27" s="18" t="n">
        <x:v>600</x:v>
      </x:c>
      <x:c r="E27" s="17"/>
      <x:c r="F27" s="17"/>
      <x:c r="G27" s="17"/>
      <x:c r="H27" s="17"/>
      <x:c r="I27" s="18" t="str">
        <x:f>IF(COUNT(G27:H27)&lt;2,"",G27-H27)</x:f>
      </x:c>
      <x:c r="J27" s="18" t="str">
        <x:f>IF(COUNT(I27)=0,"",I27/25.4)</x:f>
      </x:c>
      <x:c r="K27" s="10"/>
      <x:c r="L27" s="10"/>
    </x:row>
    <x:row r="28" ht="34" customHeight="1">
      <x:c r="A28" s="11" t="str">
        <x:v>C</x:v>
      </x:c>
      <x:c r="B28" s="11" t="str">
        <x:v>Row 2 cushion midpoint</x:v>
      </x:c>
      <x:c r="C28" s="11" t="str">
        <x:v>750</x:v>
      </x:c>
      <x:c r="D28" s="19" t="n">
        <x:v>750</x:v>
      </x:c>
      <x:c r="E28" s="17"/>
      <x:c r="F28" s="17"/>
      <x:c r="G28" s="17"/>
      <x:c r="H28" s="17"/>
      <x:c r="I28" s="19" t="str">
        <x:f>IF(COUNT(G28:H28)&lt;2,"",G28-H28)</x:f>
      </x:c>
      <x:c r="J28" s="19" t="str">
        <x:f>IF(COUNT(I28)=0,"",I28/25.4)</x:f>
      </x:c>
      <x:c r="K28" s="11"/>
      <x:c r="L28" s="11"/>
    </x:row>
    <x:row r="29" ht="34" customHeight="1">
      <x:c r="A29" s="10" t="str">
        <x:v>C</x:v>
      </x:c>
      <x:c r="B29" s="10" t="str">
        <x:v>Row 2 cushion midpoint</x:v>
      </x:c>
      <x:c r="C29" s="10" t="str">
        <x:v>900</x:v>
      </x:c>
      <x:c r="D29" s="18" t="n">
        <x:v>900</x:v>
      </x:c>
      <x:c r="E29" s="17"/>
      <x:c r="F29" s="17"/>
      <x:c r="G29" s="17"/>
      <x:c r="H29" s="17"/>
      <x:c r="I29" s="18" t="str">
        <x:f>IF(COUNT(G29:H29)&lt;2,"",G29-H29)</x:f>
      </x:c>
      <x:c r="J29" s="18" t="str">
        <x:f>IF(COUNT(I29)=0,"",I29/25.4)</x:f>
      </x:c>
      <x:c r="K29" s="10"/>
      <x:c r="L29" s="10"/>
    </x:row>
    <x:row r="30" ht="34" customHeight="1">
      <x:c r="A30" s="11" t="str">
        <x:v>C</x:v>
      </x:c>
      <x:c r="B30" s="11" t="str">
        <x:v>Row 2 cushion midpoint</x:v>
      </x:c>
      <x:c r="C30" s="11" t="str">
        <x:v>beltline</x:v>
      </x:c>
      <x:c r="D30" s="19"/>
      <x:c r="E30" s="17"/>
      <x:c r="F30" s="17"/>
      <x:c r="G30" s="17"/>
      <x:c r="H30" s="17"/>
      <x:c r="I30" s="19" t="str">
        <x:f>IF(COUNT(G30:H30)&lt;2,"",G30-H30)</x:f>
      </x:c>
      <x:c r="J30" s="19" t="str">
        <x:f>IF(COUNT(I30)=0,"",I30/25.4)</x:f>
      </x:c>
      <x:c r="K30" s="11"/>
      <x:c r="L30" s="11"/>
    </x:row>
    <x:row r="31" ht="34" customHeight="1">
      <x:c r="A31" s="10" t="str">
        <x:v>C</x:v>
      </x:c>
      <x:c r="B31" s="10" t="str">
        <x:v>Row 2 cushion midpoint</x:v>
      </x:c>
      <x:c r="C31" s="10" t="str">
        <x:v>headliner</x:v>
      </x:c>
      <x:c r="D31" s="18"/>
      <x:c r="E31" s="17"/>
      <x:c r="F31" s="17"/>
      <x:c r="G31" s="17"/>
      <x:c r="H31" s="17"/>
      <x:c r="I31" s="18" t="str">
        <x:f>IF(COUNT(G31:H31)&lt;2,"",G31-H31)</x:f>
      </x:c>
      <x:c r="J31" s="18" t="str">
        <x:f>IF(COUNT(I31)=0,"",I31/25.4)</x:f>
      </x:c>
      <x:c r="K31" s="10"/>
      <x:c r="L31" s="10"/>
    </x:row>
    <x:row r="32" ht="34" customHeight="1">
      <x:c r="A32" s="11" t="str">
        <x:v>D</x:v>
      </x:c>
      <x:c r="B32" s="11" t="str">
        <x:v>Row 2 cushion rear</x:v>
      </x:c>
      <x:c r="C32" s="11" t="str">
        <x:v>floor</x:v>
      </x:c>
      <x:c r="D32" s="19"/>
      <x:c r="E32" s="17"/>
      <x:c r="F32" s="17"/>
      <x:c r="G32" s="17"/>
      <x:c r="H32" s="17"/>
      <x:c r="I32" s="19" t="str">
        <x:f>IF(COUNT(G32:H32)&lt;2,"",G32-H32)</x:f>
      </x:c>
      <x:c r="J32" s="19" t="str">
        <x:f>IF(COUNT(I32)=0,"",I32/25.4)</x:f>
      </x:c>
      <x:c r="K32" s="11"/>
      <x:c r="L32" s="11"/>
    </x:row>
    <x:row r="33" ht="34" customHeight="1">
      <x:c r="A33" s="10" t="str">
        <x:v>D</x:v>
      </x:c>
      <x:c r="B33" s="10" t="str">
        <x:v>Row 2 cushion rear</x:v>
      </x:c>
      <x:c r="C33" s="10" t="str">
        <x:v>150</x:v>
      </x:c>
      <x:c r="D33" s="18" t="n">
        <x:v>150</x:v>
      </x:c>
      <x:c r="E33" s="17"/>
      <x:c r="F33" s="17"/>
      <x:c r="G33" s="17"/>
      <x:c r="H33" s="17"/>
      <x:c r="I33" s="18" t="str">
        <x:f>IF(COUNT(G33:H33)&lt;2,"",G33-H33)</x:f>
      </x:c>
      <x:c r="J33" s="18" t="str">
        <x:f>IF(COUNT(I33)=0,"",I33/25.4)</x:f>
      </x:c>
      <x:c r="K33" s="10"/>
      <x:c r="L33" s="10"/>
    </x:row>
    <x:row r="34" ht="34" customHeight="1">
      <x:c r="A34" s="11" t="str">
        <x:v>D</x:v>
      </x:c>
      <x:c r="B34" s="11" t="str">
        <x:v>Row 2 cushion rear</x:v>
      </x:c>
      <x:c r="C34" s="11" t="str">
        <x:v>300</x:v>
      </x:c>
      <x:c r="D34" s="19" t="n">
        <x:v>300</x:v>
      </x:c>
      <x:c r="E34" s="17"/>
      <x:c r="F34" s="17"/>
      <x:c r="G34" s="17"/>
      <x:c r="H34" s="17"/>
      <x:c r="I34" s="19" t="str">
        <x:f>IF(COUNT(G34:H34)&lt;2,"",G34-H34)</x:f>
      </x:c>
      <x:c r="J34" s="19" t="str">
        <x:f>IF(COUNT(I34)=0,"",I34/25.4)</x:f>
      </x:c>
      <x:c r="K34" s="11"/>
      <x:c r="L34" s="11"/>
    </x:row>
    <x:row r="35" ht="34" customHeight="1">
      <x:c r="A35" s="10" t="str">
        <x:v>D</x:v>
      </x:c>
      <x:c r="B35" s="10" t="str">
        <x:v>Row 2 cushion rear</x:v>
      </x:c>
      <x:c r="C35" s="10" t="str">
        <x:v>450</x:v>
      </x:c>
      <x:c r="D35" s="18" t="n">
        <x:v>450</x:v>
      </x:c>
      <x:c r="E35" s="17"/>
      <x:c r="F35" s="17"/>
      <x:c r="G35" s="17"/>
      <x:c r="H35" s="17"/>
      <x:c r="I35" s="18" t="str">
        <x:f>IF(COUNT(G35:H35)&lt;2,"",G35-H35)</x:f>
      </x:c>
      <x:c r="J35" s="18" t="str">
        <x:f>IF(COUNT(I35)=0,"",I35/25.4)</x:f>
      </x:c>
      <x:c r="K35" s="10"/>
      <x:c r="L35" s="10"/>
    </x:row>
    <x:row r="36" ht="34" customHeight="1">
      <x:c r="A36" s="11" t="str">
        <x:v>D</x:v>
      </x:c>
      <x:c r="B36" s="11" t="str">
        <x:v>Row 2 cushion rear</x:v>
      </x:c>
      <x:c r="C36" s="11" t="str">
        <x:v>600</x:v>
      </x:c>
      <x:c r="D36" s="19" t="n">
        <x:v>600</x:v>
      </x:c>
      <x:c r="E36" s="17"/>
      <x:c r="F36" s="17"/>
      <x:c r="G36" s="17"/>
      <x:c r="H36" s="17"/>
      <x:c r="I36" s="19" t="str">
        <x:f>IF(COUNT(G36:H36)&lt;2,"",G36-H36)</x:f>
      </x:c>
      <x:c r="J36" s="19" t="str">
        <x:f>IF(COUNT(I36)=0,"",I36/25.4)</x:f>
      </x:c>
      <x:c r="K36" s="11"/>
      <x:c r="L36" s="11"/>
    </x:row>
    <x:row r="37" ht="34" customHeight="1">
      <x:c r="A37" s="10" t="str">
        <x:v>D</x:v>
      </x:c>
      <x:c r="B37" s="10" t="str">
        <x:v>Row 2 cushion rear</x:v>
      </x:c>
      <x:c r="C37" s="10" t="str">
        <x:v>750</x:v>
      </x:c>
      <x:c r="D37" s="18" t="n">
        <x:v>750</x:v>
      </x:c>
      <x:c r="E37" s="17"/>
      <x:c r="F37" s="17"/>
      <x:c r="G37" s="17"/>
      <x:c r="H37" s="17"/>
      <x:c r="I37" s="18" t="str">
        <x:f>IF(COUNT(G37:H37)&lt;2,"",G37-H37)</x:f>
      </x:c>
      <x:c r="J37" s="18" t="str">
        <x:f>IF(COUNT(I37)=0,"",I37/25.4)</x:f>
      </x:c>
      <x:c r="K37" s="10"/>
      <x:c r="L37" s="10"/>
    </x:row>
    <x:row r="38" ht="34" customHeight="1">
      <x:c r="A38" s="11" t="str">
        <x:v>D</x:v>
      </x:c>
      <x:c r="B38" s="11" t="str">
        <x:v>Row 2 cushion rear</x:v>
      </x:c>
      <x:c r="C38" s="11" t="str">
        <x:v>900</x:v>
      </x:c>
      <x:c r="D38" s="19" t="n">
        <x:v>900</x:v>
      </x:c>
      <x:c r="E38" s="17"/>
      <x:c r="F38" s="17"/>
      <x:c r="G38" s="17"/>
      <x:c r="H38" s="17"/>
      <x:c r="I38" s="19" t="str">
        <x:f>IF(COUNT(G38:H38)&lt;2,"",G38-H38)</x:f>
      </x:c>
      <x:c r="J38" s="19" t="str">
        <x:f>IF(COUNT(I38)=0,"",I38/25.4)</x:f>
      </x:c>
      <x:c r="K38" s="11"/>
      <x:c r="L38" s="11"/>
    </x:row>
    <x:row r="39" ht="34" customHeight="1">
      <x:c r="A39" s="10" t="str">
        <x:v>D</x:v>
      </x:c>
      <x:c r="B39" s="10" t="str">
        <x:v>Row 2 cushion rear</x:v>
      </x:c>
      <x:c r="C39" s="10" t="str">
        <x:v>beltline</x:v>
      </x:c>
      <x:c r="D39" s="18"/>
      <x:c r="E39" s="17"/>
      <x:c r="F39" s="17"/>
      <x:c r="G39" s="17"/>
      <x:c r="H39" s="17"/>
      <x:c r="I39" s="18" t="str">
        <x:f>IF(COUNT(G39:H39)&lt;2,"",G39-H39)</x:f>
      </x:c>
      <x:c r="J39" s="18" t="str">
        <x:f>IF(COUNT(I39)=0,"",I39/25.4)</x:f>
      </x:c>
      <x:c r="K39" s="10"/>
      <x:c r="L39" s="10"/>
    </x:row>
    <x:row r="40" ht="34" customHeight="1">
      <x:c r="A40" s="11" t="str">
        <x:v>D</x:v>
      </x:c>
      <x:c r="B40" s="11" t="str">
        <x:v>Row 2 cushion rear</x:v>
      </x:c>
      <x:c r="C40" s="11" t="str">
        <x:v>headliner</x:v>
      </x:c>
      <x:c r="D40" s="19"/>
      <x:c r="E40" s="17"/>
      <x:c r="F40" s="17"/>
      <x:c r="G40" s="17"/>
      <x:c r="H40" s="17"/>
      <x:c r="I40" s="19" t="str">
        <x:f>IF(COUNT(G40:H40)&lt;2,"",G40-H40)</x:f>
      </x:c>
      <x:c r="J40" s="19" t="str">
        <x:f>IF(COUNT(I40)=0,"",I40/25.4)</x:f>
      </x:c>
      <x:c r="K40" s="11"/>
      <x:c r="L40" s="11"/>
    </x:row>
    <x:row r="41" ht="34" customHeight="1">
      <x:c r="A41" s="10" t="str">
        <x:v>E</x:v>
      </x:c>
      <x:c r="B41" s="10" t="str">
        <x:v>Rear door/C-pillar transition</x:v>
      </x:c>
      <x:c r="C41" s="10" t="str">
        <x:v>floor</x:v>
      </x:c>
      <x:c r="D41" s="18"/>
      <x:c r="E41" s="17"/>
      <x:c r="F41" s="17"/>
      <x:c r="G41" s="17"/>
      <x:c r="H41" s="17"/>
      <x:c r="I41" s="18" t="str">
        <x:f>IF(COUNT(G41:H41)&lt;2,"",G41-H41)</x:f>
      </x:c>
      <x:c r="J41" s="18" t="str">
        <x:f>IF(COUNT(I41)=0,"",I41/25.4)</x:f>
      </x:c>
      <x:c r="K41" s="10"/>
      <x:c r="L41" s="10"/>
    </x:row>
    <x:row r="42" ht="34" customHeight="1">
      <x:c r="A42" s="11" t="str">
        <x:v>E</x:v>
      </x:c>
      <x:c r="B42" s="11" t="str">
        <x:v>Rear door/C-pillar transition</x:v>
      </x:c>
      <x:c r="C42" s="11" t="str">
        <x:v>150</x:v>
      </x:c>
      <x:c r="D42" s="19" t="n">
        <x:v>150</x:v>
      </x:c>
      <x:c r="E42" s="17"/>
      <x:c r="F42" s="17"/>
      <x:c r="G42" s="17"/>
      <x:c r="H42" s="17"/>
      <x:c r="I42" s="19" t="str">
        <x:f>IF(COUNT(G42:H42)&lt;2,"",G42-H42)</x:f>
      </x:c>
      <x:c r="J42" s="19" t="str">
        <x:f>IF(COUNT(I42)=0,"",I42/25.4)</x:f>
      </x:c>
      <x:c r="K42" s="11"/>
      <x:c r="L42" s="11"/>
    </x:row>
    <x:row r="43" ht="34" customHeight="1">
      <x:c r="A43" s="10" t="str">
        <x:v>E</x:v>
      </x:c>
      <x:c r="B43" s="10" t="str">
        <x:v>Rear door/C-pillar transition</x:v>
      </x:c>
      <x:c r="C43" s="10" t="str">
        <x:v>300</x:v>
      </x:c>
      <x:c r="D43" s="18" t="n">
        <x:v>300</x:v>
      </x:c>
      <x:c r="E43" s="17"/>
      <x:c r="F43" s="17"/>
      <x:c r="G43" s="17"/>
      <x:c r="H43" s="17"/>
      <x:c r="I43" s="18" t="str">
        <x:f>IF(COUNT(G43:H43)&lt;2,"",G43-H43)</x:f>
      </x:c>
      <x:c r="J43" s="18" t="str">
        <x:f>IF(COUNT(I43)=0,"",I43/25.4)</x:f>
      </x:c>
      <x:c r="K43" s="10"/>
      <x:c r="L43" s="10"/>
    </x:row>
    <x:row r="44" ht="34" customHeight="1">
      <x:c r="A44" s="11" t="str">
        <x:v>E</x:v>
      </x:c>
      <x:c r="B44" s="11" t="str">
        <x:v>Rear door/C-pillar transition</x:v>
      </x:c>
      <x:c r="C44" s="11" t="str">
        <x:v>450</x:v>
      </x:c>
      <x:c r="D44" s="19" t="n">
        <x:v>450</x:v>
      </x:c>
      <x:c r="E44" s="17"/>
      <x:c r="F44" s="17"/>
      <x:c r="G44" s="17"/>
      <x:c r="H44" s="17"/>
      <x:c r="I44" s="19" t="str">
        <x:f>IF(COUNT(G44:H44)&lt;2,"",G44-H44)</x:f>
      </x:c>
      <x:c r="J44" s="19" t="str">
        <x:f>IF(COUNT(I44)=0,"",I44/25.4)</x:f>
      </x:c>
      <x:c r="K44" s="11"/>
      <x:c r="L44" s="11"/>
    </x:row>
    <x:row r="45" ht="34" customHeight="1">
      <x:c r="A45" s="10" t="str">
        <x:v>E</x:v>
      </x:c>
      <x:c r="B45" s="10" t="str">
        <x:v>Rear door/C-pillar transition</x:v>
      </x:c>
      <x:c r="C45" s="10" t="str">
        <x:v>600</x:v>
      </x:c>
      <x:c r="D45" s="18" t="n">
        <x:v>600</x:v>
      </x:c>
      <x:c r="E45" s="17"/>
      <x:c r="F45" s="17"/>
      <x:c r="G45" s="17"/>
      <x:c r="H45" s="17"/>
      <x:c r="I45" s="18" t="str">
        <x:f>IF(COUNT(G45:H45)&lt;2,"",G45-H45)</x:f>
      </x:c>
      <x:c r="J45" s="18" t="str">
        <x:f>IF(COUNT(I45)=0,"",I45/25.4)</x:f>
      </x:c>
      <x:c r="K45" s="10"/>
      <x:c r="L45" s="10"/>
    </x:row>
    <x:row r="46" ht="34" customHeight="1">
      <x:c r="A46" s="11" t="str">
        <x:v>E</x:v>
      </x:c>
      <x:c r="B46" s="11" t="str">
        <x:v>Rear door/C-pillar transition</x:v>
      </x:c>
      <x:c r="C46" s="11" t="str">
        <x:v>750</x:v>
      </x:c>
      <x:c r="D46" s="19" t="n">
        <x:v>750</x:v>
      </x:c>
      <x:c r="E46" s="17"/>
      <x:c r="F46" s="17"/>
      <x:c r="G46" s="17"/>
      <x:c r="H46" s="17"/>
      <x:c r="I46" s="19" t="str">
        <x:f>IF(COUNT(G46:H46)&lt;2,"",G46-H46)</x:f>
      </x:c>
      <x:c r="J46" s="19" t="str">
        <x:f>IF(COUNT(I46)=0,"",I46/25.4)</x:f>
      </x:c>
      <x:c r="K46" s="11"/>
      <x:c r="L46" s="11"/>
    </x:row>
    <x:row r="47" ht="34" customHeight="1">
      <x:c r="A47" s="10" t="str">
        <x:v>E</x:v>
      </x:c>
      <x:c r="B47" s="10" t="str">
        <x:v>Rear door/C-pillar transition</x:v>
      </x:c>
      <x:c r="C47" s="10" t="str">
        <x:v>900</x:v>
      </x:c>
      <x:c r="D47" s="18" t="n">
        <x:v>900</x:v>
      </x:c>
      <x:c r="E47" s="17"/>
      <x:c r="F47" s="17"/>
      <x:c r="G47" s="17"/>
      <x:c r="H47" s="17"/>
      <x:c r="I47" s="18" t="str">
        <x:f>IF(COUNT(G47:H47)&lt;2,"",G47-H47)</x:f>
      </x:c>
      <x:c r="J47" s="18" t="str">
        <x:f>IF(COUNT(I47)=0,"",I47/25.4)</x:f>
      </x:c>
      <x:c r="K47" s="10"/>
      <x:c r="L47" s="10"/>
    </x:row>
    <x:row r="48" ht="34" customHeight="1">
      <x:c r="A48" s="11" t="str">
        <x:v>E</x:v>
      </x:c>
      <x:c r="B48" s="11" t="str">
        <x:v>Rear door/C-pillar transition</x:v>
      </x:c>
      <x:c r="C48" s="11" t="str">
        <x:v>beltline</x:v>
      </x:c>
      <x:c r="D48" s="19"/>
      <x:c r="E48" s="17"/>
      <x:c r="F48" s="17"/>
      <x:c r="G48" s="17"/>
      <x:c r="H48" s="17"/>
      <x:c r="I48" s="19" t="str">
        <x:f>IF(COUNT(G48:H48)&lt;2,"",G48-H48)</x:f>
      </x:c>
      <x:c r="J48" s="19" t="str">
        <x:f>IF(COUNT(I48)=0,"",I48/25.4)</x:f>
      </x:c>
      <x:c r="K48" s="11"/>
      <x:c r="L48" s="11"/>
    </x:row>
    <x:row r="49" ht="34" customHeight="1">
      <x:c r="A49" s="10" t="str">
        <x:v>E</x:v>
      </x:c>
      <x:c r="B49" s="10" t="str">
        <x:v>Rear door/C-pillar transition</x:v>
      </x:c>
      <x:c r="C49" s="10" t="str">
        <x:v>headliner</x:v>
      </x:c>
      <x:c r="D49" s="18"/>
      <x:c r="E49" s="17"/>
      <x:c r="F49" s="17"/>
      <x:c r="G49" s="17"/>
      <x:c r="H49" s="17"/>
      <x:c r="I49" s="18" t="str">
        <x:f>IF(COUNT(G49:H49)&lt;2,"",G49-H49)</x:f>
      </x:c>
      <x:c r="J49" s="18" t="str">
        <x:f>IF(COUNT(I49)=0,"",I49/25.4)</x:f>
      </x:c>
      <x:c r="K49" s="10"/>
      <x:c r="L49" s="10"/>
    </x:row>
    <x:row r="50" ht="34" customHeight="1">
      <x:c r="A50" s="11" t="str">
        <x:v>F</x:v>
      </x:c>
      <x:c r="B50" s="11" t="str">
        <x:v>Third-row footwell</x:v>
      </x:c>
      <x:c r="C50" s="11" t="str">
        <x:v>floor</x:v>
      </x:c>
      <x:c r="D50" s="19"/>
      <x:c r="E50" s="17"/>
      <x:c r="F50" s="17"/>
      <x:c r="G50" s="17"/>
      <x:c r="H50" s="17"/>
      <x:c r="I50" s="19" t="str">
        <x:f>IF(COUNT(G50:H50)&lt;2,"",G50-H50)</x:f>
      </x:c>
      <x:c r="J50" s="19" t="str">
        <x:f>IF(COUNT(I50)=0,"",I50/25.4)</x:f>
      </x:c>
      <x:c r="K50" s="11"/>
      <x:c r="L50" s="11"/>
    </x:row>
    <x:row r="51" ht="34" customHeight="1">
      <x:c r="A51" s="10" t="str">
        <x:v>F</x:v>
      </x:c>
      <x:c r="B51" s="10" t="str">
        <x:v>Third-row footwell</x:v>
      </x:c>
      <x:c r="C51" s="10" t="str">
        <x:v>150</x:v>
      </x:c>
      <x:c r="D51" s="18" t="n">
        <x:v>150</x:v>
      </x:c>
      <x:c r="E51" s="17"/>
      <x:c r="F51" s="17"/>
      <x:c r="G51" s="17"/>
      <x:c r="H51" s="17"/>
      <x:c r="I51" s="18" t="str">
        <x:f>IF(COUNT(G51:H51)&lt;2,"",G51-H51)</x:f>
      </x:c>
      <x:c r="J51" s="18" t="str">
        <x:f>IF(COUNT(I51)=0,"",I51/25.4)</x:f>
      </x:c>
      <x:c r="K51" s="10"/>
      <x:c r="L51" s="10"/>
    </x:row>
    <x:row r="52" ht="34" customHeight="1">
      <x:c r="A52" s="11" t="str">
        <x:v>F</x:v>
      </x:c>
      <x:c r="B52" s="11" t="str">
        <x:v>Third-row footwell</x:v>
      </x:c>
      <x:c r="C52" s="11" t="str">
        <x:v>300</x:v>
      </x:c>
      <x:c r="D52" s="19" t="n">
        <x:v>300</x:v>
      </x:c>
      <x:c r="E52" s="17"/>
      <x:c r="F52" s="17"/>
      <x:c r="G52" s="17"/>
      <x:c r="H52" s="17"/>
      <x:c r="I52" s="19" t="str">
        <x:f>IF(COUNT(G52:H52)&lt;2,"",G52-H52)</x:f>
      </x:c>
      <x:c r="J52" s="19" t="str">
        <x:f>IF(COUNT(I52)=0,"",I52/25.4)</x:f>
      </x:c>
      <x:c r="K52" s="11"/>
      <x:c r="L52" s="11"/>
    </x:row>
    <x:row r="53" ht="34" customHeight="1">
      <x:c r="A53" s="10" t="str">
        <x:v>F</x:v>
      </x:c>
      <x:c r="B53" s="10" t="str">
        <x:v>Third-row footwell</x:v>
      </x:c>
      <x:c r="C53" s="10" t="str">
        <x:v>450</x:v>
      </x:c>
      <x:c r="D53" s="18" t="n">
        <x:v>450</x:v>
      </x:c>
      <x:c r="E53" s="17"/>
      <x:c r="F53" s="17"/>
      <x:c r="G53" s="17"/>
      <x:c r="H53" s="17"/>
      <x:c r="I53" s="18" t="str">
        <x:f>IF(COUNT(G53:H53)&lt;2,"",G53-H53)</x:f>
      </x:c>
      <x:c r="J53" s="18" t="str">
        <x:f>IF(COUNT(I53)=0,"",I53/25.4)</x:f>
      </x:c>
      <x:c r="K53" s="10"/>
      <x:c r="L53" s="10"/>
    </x:row>
    <x:row r="54" ht="34" customHeight="1">
      <x:c r="A54" s="11" t="str">
        <x:v>F</x:v>
      </x:c>
      <x:c r="B54" s="11" t="str">
        <x:v>Third-row footwell</x:v>
      </x:c>
      <x:c r="C54" s="11" t="str">
        <x:v>600</x:v>
      </x:c>
      <x:c r="D54" s="19" t="n">
        <x:v>600</x:v>
      </x:c>
      <x:c r="E54" s="17"/>
      <x:c r="F54" s="17"/>
      <x:c r="G54" s="17"/>
      <x:c r="H54" s="17"/>
      <x:c r="I54" s="19" t="str">
        <x:f>IF(COUNT(G54:H54)&lt;2,"",G54-H54)</x:f>
      </x:c>
      <x:c r="J54" s="19" t="str">
        <x:f>IF(COUNT(I54)=0,"",I54/25.4)</x:f>
      </x:c>
      <x:c r="K54" s="11"/>
      <x:c r="L54" s="11"/>
    </x:row>
    <x:row r="55" ht="34" customHeight="1">
      <x:c r="A55" s="10" t="str">
        <x:v>F</x:v>
      </x:c>
      <x:c r="B55" s="10" t="str">
        <x:v>Third-row footwell</x:v>
      </x:c>
      <x:c r="C55" s="10" t="str">
        <x:v>750</x:v>
      </x:c>
      <x:c r="D55" s="18" t="n">
        <x:v>750</x:v>
      </x:c>
      <x:c r="E55" s="17"/>
      <x:c r="F55" s="17"/>
      <x:c r="G55" s="17"/>
      <x:c r="H55" s="17"/>
      <x:c r="I55" s="18" t="str">
        <x:f>IF(COUNT(G55:H55)&lt;2,"",G55-H55)</x:f>
      </x:c>
      <x:c r="J55" s="18" t="str">
        <x:f>IF(COUNT(I55)=0,"",I55/25.4)</x:f>
      </x:c>
      <x:c r="K55" s="10"/>
      <x:c r="L55" s="10"/>
    </x:row>
    <x:row r="56" ht="34" customHeight="1">
      <x:c r="A56" s="11" t="str">
        <x:v>F</x:v>
      </x:c>
      <x:c r="B56" s="11" t="str">
        <x:v>Third-row footwell</x:v>
      </x:c>
      <x:c r="C56" s="11" t="str">
        <x:v>900</x:v>
      </x:c>
      <x:c r="D56" s="19" t="n">
        <x:v>900</x:v>
      </x:c>
      <x:c r="E56" s="17"/>
      <x:c r="F56" s="17"/>
      <x:c r="G56" s="17"/>
      <x:c r="H56" s="17"/>
      <x:c r="I56" s="19" t="str">
        <x:f>IF(COUNT(G56:H56)&lt;2,"",G56-H56)</x:f>
      </x:c>
      <x:c r="J56" s="19" t="str">
        <x:f>IF(COUNT(I56)=0,"",I56/25.4)</x:f>
      </x:c>
      <x:c r="K56" s="11"/>
      <x:c r="L56" s="11"/>
    </x:row>
    <x:row r="57" ht="34" customHeight="1">
      <x:c r="A57" s="10" t="str">
        <x:v>F</x:v>
      </x:c>
      <x:c r="B57" s="10" t="str">
        <x:v>Third-row footwell</x:v>
      </x:c>
      <x:c r="C57" s="10" t="str">
        <x:v>beltline</x:v>
      </x:c>
      <x:c r="D57" s="18"/>
      <x:c r="E57" s="17"/>
      <x:c r="F57" s="17"/>
      <x:c r="G57" s="17"/>
      <x:c r="H57" s="17"/>
      <x:c r="I57" s="18" t="str">
        <x:f>IF(COUNT(G57:H57)&lt;2,"",G57-H57)</x:f>
      </x:c>
      <x:c r="J57" s="18" t="str">
        <x:f>IF(COUNT(I57)=0,"",I57/25.4)</x:f>
      </x:c>
      <x:c r="K57" s="10"/>
      <x:c r="L57" s="10"/>
    </x:row>
    <x:row r="58" ht="34" customHeight="1">
      <x:c r="A58" s="11" t="str">
        <x:v>F</x:v>
      </x:c>
      <x:c r="B58" s="11" t="str">
        <x:v>Third-row footwell</x:v>
      </x:c>
      <x:c r="C58" s="11" t="str">
        <x:v>headliner</x:v>
      </x:c>
      <x:c r="D58" s="19"/>
      <x:c r="E58" s="17"/>
      <x:c r="F58" s="17"/>
      <x:c r="G58" s="17"/>
      <x:c r="H58" s="17"/>
      <x:c r="I58" s="19" t="str">
        <x:f>IF(COUNT(G58:H58)&lt;2,"",G58-H58)</x:f>
      </x:c>
      <x:c r="J58" s="19" t="str">
        <x:f>IF(COUNT(I58)=0,"",I58/25.4)</x:f>
      </x:c>
      <x:c r="K58" s="11"/>
      <x:c r="L58" s="11"/>
    </x:row>
    <x:row r="59" ht="34" customHeight="1">
      <x:c r="A59" s="10" t="str">
        <x:v>G</x:v>
      </x:c>
      <x:c r="B59" s="10" t="str">
        <x:v>Third-row cushion midpoint</x:v>
      </x:c>
      <x:c r="C59" s="10" t="str">
        <x:v>floor</x:v>
      </x:c>
      <x:c r="D59" s="18"/>
      <x:c r="E59" s="17"/>
      <x:c r="F59" s="17"/>
      <x:c r="G59" s="17"/>
      <x:c r="H59" s="17"/>
      <x:c r="I59" s="18" t="str">
        <x:f>IF(COUNT(G59:H59)&lt;2,"",G59-H59)</x:f>
      </x:c>
      <x:c r="J59" s="18" t="str">
        <x:f>IF(COUNT(I59)=0,"",I59/25.4)</x:f>
      </x:c>
      <x:c r="K59" s="10"/>
      <x:c r="L59" s="10"/>
    </x:row>
    <x:row r="60" ht="34" customHeight="1">
      <x:c r="A60" s="11" t="str">
        <x:v>G</x:v>
      </x:c>
      <x:c r="B60" s="11" t="str">
        <x:v>Third-row cushion midpoint</x:v>
      </x:c>
      <x:c r="C60" s="11" t="str">
        <x:v>150</x:v>
      </x:c>
      <x:c r="D60" s="19" t="n">
        <x:v>150</x:v>
      </x:c>
      <x:c r="E60" s="17"/>
      <x:c r="F60" s="17"/>
      <x:c r="G60" s="17"/>
      <x:c r="H60" s="17"/>
      <x:c r="I60" s="19" t="str">
        <x:f>IF(COUNT(G60:H60)&lt;2,"",G60-H60)</x:f>
      </x:c>
      <x:c r="J60" s="19" t="str">
        <x:f>IF(COUNT(I60)=0,"",I60/25.4)</x:f>
      </x:c>
      <x:c r="K60" s="11"/>
      <x:c r="L60" s="11"/>
    </x:row>
    <x:row r="61" ht="34" customHeight="1">
      <x:c r="A61" s="10" t="str">
        <x:v>G</x:v>
      </x:c>
      <x:c r="B61" s="10" t="str">
        <x:v>Third-row cushion midpoint</x:v>
      </x:c>
      <x:c r="C61" s="10" t="str">
        <x:v>300</x:v>
      </x:c>
      <x:c r="D61" s="18" t="n">
        <x:v>300</x:v>
      </x:c>
      <x:c r="E61" s="17"/>
      <x:c r="F61" s="17"/>
      <x:c r="G61" s="17"/>
      <x:c r="H61" s="17"/>
      <x:c r="I61" s="18" t="str">
        <x:f>IF(COUNT(G61:H61)&lt;2,"",G61-H61)</x:f>
      </x:c>
      <x:c r="J61" s="18" t="str">
        <x:f>IF(COUNT(I61)=0,"",I61/25.4)</x:f>
      </x:c>
      <x:c r="K61" s="10"/>
      <x:c r="L61" s="10"/>
    </x:row>
    <x:row r="62" ht="34" customHeight="1">
      <x:c r="A62" s="11" t="str">
        <x:v>G</x:v>
      </x:c>
      <x:c r="B62" s="11" t="str">
        <x:v>Third-row cushion midpoint</x:v>
      </x:c>
      <x:c r="C62" s="11" t="str">
        <x:v>450</x:v>
      </x:c>
      <x:c r="D62" s="19" t="n">
        <x:v>450</x:v>
      </x:c>
      <x:c r="E62" s="17"/>
      <x:c r="F62" s="17"/>
      <x:c r="G62" s="17"/>
      <x:c r="H62" s="17"/>
      <x:c r="I62" s="19" t="str">
        <x:f>IF(COUNT(G62:H62)&lt;2,"",G62-H62)</x:f>
      </x:c>
      <x:c r="J62" s="19" t="str">
        <x:f>IF(COUNT(I62)=0,"",I62/25.4)</x:f>
      </x:c>
      <x:c r="K62" s="11"/>
      <x:c r="L62" s="11"/>
    </x:row>
    <x:row r="63" ht="34" customHeight="1">
      <x:c r="A63" s="10" t="str">
        <x:v>G</x:v>
      </x:c>
      <x:c r="B63" s="10" t="str">
        <x:v>Third-row cushion midpoint</x:v>
      </x:c>
      <x:c r="C63" s="10" t="str">
        <x:v>600</x:v>
      </x:c>
      <x:c r="D63" s="18" t="n">
        <x:v>600</x:v>
      </x:c>
      <x:c r="E63" s="17"/>
      <x:c r="F63" s="17"/>
      <x:c r="G63" s="17"/>
      <x:c r="H63" s="17"/>
      <x:c r="I63" s="18" t="str">
        <x:f>IF(COUNT(G63:H63)&lt;2,"",G63-H63)</x:f>
      </x:c>
      <x:c r="J63" s="18" t="str">
        <x:f>IF(COUNT(I63)=0,"",I63/25.4)</x:f>
      </x:c>
      <x:c r="K63" s="10"/>
      <x:c r="L63" s="10"/>
    </x:row>
    <x:row r="64" ht="34" customHeight="1">
      <x:c r="A64" s="11" t="str">
        <x:v>G</x:v>
      </x:c>
      <x:c r="B64" s="11" t="str">
        <x:v>Third-row cushion midpoint</x:v>
      </x:c>
      <x:c r="C64" s="11" t="str">
        <x:v>750</x:v>
      </x:c>
      <x:c r="D64" s="19" t="n">
        <x:v>750</x:v>
      </x:c>
      <x:c r="E64" s="17"/>
      <x:c r="F64" s="17"/>
      <x:c r="G64" s="17"/>
      <x:c r="H64" s="17"/>
      <x:c r="I64" s="19" t="str">
        <x:f>IF(COUNT(G64:H64)&lt;2,"",G64-H64)</x:f>
      </x:c>
      <x:c r="J64" s="19" t="str">
        <x:f>IF(COUNT(I64)=0,"",I64/25.4)</x:f>
      </x:c>
      <x:c r="K64" s="11"/>
      <x:c r="L64" s="11"/>
    </x:row>
    <x:row r="65" ht="34" customHeight="1">
      <x:c r="A65" s="10" t="str">
        <x:v>G</x:v>
      </x:c>
      <x:c r="B65" s="10" t="str">
        <x:v>Third-row cushion midpoint</x:v>
      </x:c>
      <x:c r="C65" s="10" t="str">
        <x:v>900</x:v>
      </x:c>
      <x:c r="D65" s="18" t="n">
        <x:v>900</x:v>
      </x:c>
      <x:c r="E65" s="17"/>
      <x:c r="F65" s="17"/>
      <x:c r="G65" s="17"/>
      <x:c r="H65" s="17"/>
      <x:c r="I65" s="18" t="str">
        <x:f>IF(COUNT(G65:H65)&lt;2,"",G65-H65)</x:f>
      </x:c>
      <x:c r="J65" s="18" t="str">
        <x:f>IF(COUNT(I65)=0,"",I65/25.4)</x:f>
      </x:c>
      <x:c r="K65" s="10"/>
      <x:c r="L65" s="10"/>
    </x:row>
    <x:row r="66" ht="34" customHeight="1">
      <x:c r="A66" s="11" t="str">
        <x:v>G</x:v>
      </x:c>
      <x:c r="B66" s="11" t="str">
        <x:v>Third-row cushion midpoint</x:v>
      </x:c>
      <x:c r="C66" s="11" t="str">
        <x:v>beltline</x:v>
      </x:c>
      <x:c r="D66" s="19"/>
      <x:c r="E66" s="17"/>
      <x:c r="F66" s="17"/>
      <x:c r="G66" s="17"/>
      <x:c r="H66" s="17"/>
      <x:c r="I66" s="19" t="str">
        <x:f>IF(COUNT(G66:H66)&lt;2,"",G66-H66)</x:f>
      </x:c>
      <x:c r="J66" s="19" t="str">
        <x:f>IF(COUNT(I66)=0,"",I66/25.4)</x:f>
      </x:c>
      <x:c r="K66" s="11"/>
      <x:c r="L66" s="11"/>
    </x:row>
    <x:row r="67" ht="34" customHeight="1">
      <x:c r="A67" s="10" t="str">
        <x:v>G</x:v>
      </x:c>
      <x:c r="B67" s="10" t="str">
        <x:v>Third-row cushion midpoint</x:v>
      </x:c>
      <x:c r="C67" s="10" t="str">
        <x:v>headliner</x:v>
      </x:c>
      <x:c r="D67" s="18"/>
      <x:c r="E67" s="17"/>
      <x:c r="F67" s="17"/>
      <x:c r="G67" s="17"/>
      <x:c r="H67" s="17"/>
      <x:c r="I67" s="18" t="str">
        <x:f>IF(COUNT(G67:H67)&lt;2,"",G67-H67)</x:f>
      </x:c>
      <x:c r="J67" s="18" t="str">
        <x:f>IF(COUNT(I67)=0,"",I67/25.4)</x:f>
      </x:c>
      <x:c r="K67" s="10"/>
      <x:c r="L67" s="10"/>
    </x:row>
    <x:row r="68" ht="34" customHeight="1">
      <x:c r="A68" s="11" t="str">
        <x:v>H</x:v>
      </x:c>
      <x:c r="B68" s="11" t="str">
        <x:v>Third-row cushion rear</x:v>
      </x:c>
      <x:c r="C68" s="11" t="str">
        <x:v>floor</x:v>
      </x:c>
      <x:c r="D68" s="19"/>
      <x:c r="E68" s="17"/>
      <x:c r="F68" s="17"/>
      <x:c r="G68" s="17"/>
      <x:c r="H68" s="17"/>
      <x:c r="I68" s="19" t="str">
        <x:f>IF(COUNT(G68:H68)&lt;2,"",G68-H68)</x:f>
      </x:c>
      <x:c r="J68" s="19" t="str">
        <x:f>IF(COUNT(I68)=0,"",I68/25.4)</x:f>
      </x:c>
      <x:c r="K68" s="11"/>
      <x:c r="L68" s="11"/>
    </x:row>
    <x:row r="69" ht="34" customHeight="1">
      <x:c r="A69" s="10" t="str">
        <x:v>H</x:v>
      </x:c>
      <x:c r="B69" s="10" t="str">
        <x:v>Third-row cushion rear</x:v>
      </x:c>
      <x:c r="C69" s="10" t="str">
        <x:v>150</x:v>
      </x:c>
      <x:c r="D69" s="18" t="n">
        <x:v>150</x:v>
      </x:c>
      <x:c r="E69" s="17"/>
      <x:c r="F69" s="17"/>
      <x:c r="G69" s="17"/>
      <x:c r="H69" s="17"/>
      <x:c r="I69" s="18" t="str">
        <x:f>IF(COUNT(G69:H69)&lt;2,"",G69-H69)</x:f>
      </x:c>
      <x:c r="J69" s="18" t="str">
        <x:f>IF(COUNT(I69)=0,"",I69/25.4)</x:f>
      </x:c>
      <x:c r="K69" s="10"/>
      <x:c r="L69" s="10"/>
    </x:row>
    <x:row r="70" ht="34" customHeight="1">
      <x:c r="A70" s="11" t="str">
        <x:v>H</x:v>
      </x:c>
      <x:c r="B70" s="11" t="str">
        <x:v>Third-row cushion rear</x:v>
      </x:c>
      <x:c r="C70" s="11" t="str">
        <x:v>300</x:v>
      </x:c>
      <x:c r="D70" s="19" t="n">
        <x:v>300</x:v>
      </x:c>
      <x:c r="E70" s="17"/>
      <x:c r="F70" s="17"/>
      <x:c r="G70" s="17"/>
      <x:c r="H70" s="17"/>
      <x:c r="I70" s="19" t="str">
        <x:f>IF(COUNT(G70:H70)&lt;2,"",G70-H70)</x:f>
      </x:c>
      <x:c r="J70" s="19" t="str">
        <x:f>IF(COUNT(I70)=0,"",I70/25.4)</x:f>
      </x:c>
      <x:c r="K70" s="11"/>
      <x:c r="L70" s="11"/>
    </x:row>
    <x:row r="71" ht="34" customHeight="1">
      <x:c r="A71" s="10" t="str">
        <x:v>H</x:v>
      </x:c>
      <x:c r="B71" s="10" t="str">
        <x:v>Third-row cushion rear</x:v>
      </x:c>
      <x:c r="C71" s="10" t="str">
        <x:v>450</x:v>
      </x:c>
      <x:c r="D71" s="18" t="n">
        <x:v>450</x:v>
      </x:c>
      <x:c r="E71" s="17"/>
      <x:c r="F71" s="17"/>
      <x:c r="G71" s="17"/>
      <x:c r="H71" s="17"/>
      <x:c r="I71" s="18" t="str">
        <x:f>IF(COUNT(G71:H71)&lt;2,"",G71-H71)</x:f>
      </x:c>
      <x:c r="J71" s="18" t="str">
        <x:f>IF(COUNT(I71)=0,"",I71/25.4)</x:f>
      </x:c>
      <x:c r="K71" s="10"/>
      <x:c r="L71" s="10"/>
    </x:row>
    <x:row r="72" ht="34" customHeight="1">
      <x:c r="A72" s="11" t="str">
        <x:v>H</x:v>
      </x:c>
      <x:c r="B72" s="11" t="str">
        <x:v>Third-row cushion rear</x:v>
      </x:c>
      <x:c r="C72" s="11" t="str">
        <x:v>600</x:v>
      </x:c>
      <x:c r="D72" s="19" t="n">
        <x:v>600</x:v>
      </x:c>
      <x:c r="E72" s="17"/>
      <x:c r="F72" s="17"/>
      <x:c r="G72" s="17"/>
      <x:c r="H72" s="17"/>
      <x:c r="I72" s="19" t="str">
        <x:f>IF(COUNT(G72:H72)&lt;2,"",G72-H72)</x:f>
      </x:c>
      <x:c r="J72" s="19" t="str">
        <x:f>IF(COUNT(I72)=0,"",I72/25.4)</x:f>
      </x:c>
      <x:c r="K72" s="11"/>
      <x:c r="L72" s="11"/>
    </x:row>
    <x:row r="73" ht="34" customHeight="1">
      <x:c r="A73" s="10" t="str">
        <x:v>H</x:v>
      </x:c>
      <x:c r="B73" s="10" t="str">
        <x:v>Third-row cushion rear</x:v>
      </x:c>
      <x:c r="C73" s="10" t="str">
        <x:v>750</x:v>
      </x:c>
      <x:c r="D73" s="18" t="n">
        <x:v>750</x:v>
      </x:c>
      <x:c r="E73" s="17"/>
      <x:c r="F73" s="17"/>
      <x:c r="G73" s="17"/>
      <x:c r="H73" s="17"/>
      <x:c r="I73" s="18" t="str">
        <x:f>IF(COUNT(G73:H73)&lt;2,"",G73-H73)</x:f>
      </x:c>
      <x:c r="J73" s="18" t="str">
        <x:f>IF(COUNT(I73)=0,"",I73/25.4)</x:f>
      </x:c>
      <x:c r="K73" s="10"/>
      <x:c r="L73" s="10"/>
    </x:row>
    <x:row r="74" ht="34" customHeight="1">
      <x:c r="A74" s="11" t="str">
        <x:v>H</x:v>
      </x:c>
      <x:c r="B74" s="11" t="str">
        <x:v>Third-row cushion rear</x:v>
      </x:c>
      <x:c r="C74" s="11" t="str">
        <x:v>900</x:v>
      </x:c>
      <x:c r="D74" s="19" t="n">
        <x:v>900</x:v>
      </x:c>
      <x:c r="E74" s="17"/>
      <x:c r="F74" s="17"/>
      <x:c r="G74" s="17"/>
      <x:c r="H74" s="17"/>
      <x:c r="I74" s="19" t="str">
        <x:f>IF(COUNT(G74:H74)&lt;2,"",G74-H74)</x:f>
      </x:c>
      <x:c r="J74" s="19" t="str">
        <x:f>IF(COUNT(I74)=0,"",I74/25.4)</x:f>
      </x:c>
      <x:c r="K74" s="11"/>
      <x:c r="L74" s="11"/>
    </x:row>
    <x:row r="75" ht="34" customHeight="1">
      <x:c r="A75" s="10" t="str">
        <x:v>H</x:v>
      </x:c>
      <x:c r="B75" s="10" t="str">
        <x:v>Third-row cushion rear</x:v>
      </x:c>
      <x:c r="C75" s="10" t="str">
        <x:v>beltline</x:v>
      </x:c>
      <x:c r="D75" s="18"/>
      <x:c r="E75" s="17"/>
      <x:c r="F75" s="17"/>
      <x:c r="G75" s="17"/>
      <x:c r="H75" s="17"/>
      <x:c r="I75" s="18" t="str">
        <x:f>IF(COUNT(G75:H75)&lt;2,"",G75-H75)</x:f>
      </x:c>
      <x:c r="J75" s="18" t="str">
        <x:f>IF(COUNT(I75)=0,"",I75/25.4)</x:f>
      </x:c>
      <x:c r="K75" s="10"/>
      <x:c r="L75" s="10"/>
    </x:row>
    <x:row r="76" ht="34" customHeight="1">
      <x:c r="A76" s="11" t="str">
        <x:v>H</x:v>
      </x:c>
      <x:c r="B76" s="11" t="str">
        <x:v>Third-row cushion rear</x:v>
      </x:c>
      <x:c r="C76" s="11" t="str">
        <x:v>headliner</x:v>
      </x:c>
      <x:c r="D76" s="19"/>
      <x:c r="E76" s="17"/>
      <x:c r="F76" s="17"/>
      <x:c r="G76" s="17"/>
      <x:c r="H76" s="17"/>
      <x:c r="I76" s="19" t="str">
        <x:f>IF(COUNT(G76:H76)&lt;2,"",G76-H76)</x:f>
      </x:c>
      <x:c r="J76" s="19" t="str">
        <x:f>IF(COUNT(I76)=0,"",I76/25.4)</x:f>
      </x:c>
      <x:c r="K76" s="11"/>
      <x:c r="L76" s="11"/>
    </x:row>
    <x:row r="77" ht="34" customHeight="1">
      <x:c r="A77" s="10" t="str">
        <x:v>I</x:v>
      </x:c>
      <x:c r="B77" s="10" t="str">
        <x:v>Wheel-house midpoint/peak</x:v>
      </x:c>
      <x:c r="C77" s="10" t="str">
        <x:v>floor</x:v>
      </x:c>
      <x:c r="D77" s="18"/>
      <x:c r="E77" s="17"/>
      <x:c r="F77" s="17"/>
      <x:c r="G77" s="17"/>
      <x:c r="H77" s="17"/>
      <x:c r="I77" s="18" t="str">
        <x:f>IF(COUNT(G77:H77)&lt;2,"",G77-H77)</x:f>
      </x:c>
      <x:c r="J77" s="18" t="str">
        <x:f>IF(COUNT(I77)=0,"",I77/25.4)</x:f>
      </x:c>
      <x:c r="K77" s="10"/>
      <x:c r="L77" s="10"/>
    </x:row>
    <x:row r="78" ht="34" customHeight="1">
      <x:c r="A78" s="11" t="str">
        <x:v>I</x:v>
      </x:c>
      <x:c r="B78" s="11" t="str">
        <x:v>Wheel-house midpoint/peak</x:v>
      </x:c>
      <x:c r="C78" s="11" t="str">
        <x:v>150</x:v>
      </x:c>
      <x:c r="D78" s="19" t="n">
        <x:v>150</x:v>
      </x:c>
      <x:c r="E78" s="17"/>
      <x:c r="F78" s="17"/>
      <x:c r="G78" s="17"/>
      <x:c r="H78" s="17"/>
      <x:c r="I78" s="19" t="str">
        <x:f>IF(COUNT(G78:H78)&lt;2,"",G78-H78)</x:f>
      </x:c>
      <x:c r="J78" s="19" t="str">
        <x:f>IF(COUNT(I78)=0,"",I78/25.4)</x:f>
      </x:c>
      <x:c r="K78" s="11"/>
      <x:c r="L78" s="11"/>
    </x:row>
    <x:row r="79" ht="34" customHeight="1">
      <x:c r="A79" s="10" t="str">
        <x:v>I</x:v>
      </x:c>
      <x:c r="B79" s="10" t="str">
        <x:v>Wheel-house midpoint/peak</x:v>
      </x:c>
      <x:c r="C79" s="10" t="str">
        <x:v>300</x:v>
      </x:c>
      <x:c r="D79" s="18" t="n">
        <x:v>300</x:v>
      </x:c>
      <x:c r="E79" s="17"/>
      <x:c r="F79" s="17"/>
      <x:c r="G79" s="17"/>
      <x:c r="H79" s="17"/>
      <x:c r="I79" s="18" t="str">
        <x:f>IF(COUNT(G79:H79)&lt;2,"",G79-H79)</x:f>
      </x:c>
      <x:c r="J79" s="18" t="str">
        <x:f>IF(COUNT(I79)=0,"",I79/25.4)</x:f>
      </x:c>
      <x:c r="K79" s="10"/>
      <x:c r="L79" s="10"/>
    </x:row>
    <x:row r="80" ht="34" customHeight="1">
      <x:c r="A80" s="11" t="str">
        <x:v>I</x:v>
      </x:c>
      <x:c r="B80" s="11" t="str">
        <x:v>Wheel-house midpoint/peak</x:v>
      </x:c>
      <x:c r="C80" s="11" t="str">
        <x:v>450</x:v>
      </x:c>
      <x:c r="D80" s="19" t="n">
        <x:v>450</x:v>
      </x:c>
      <x:c r="E80" s="17"/>
      <x:c r="F80" s="17"/>
      <x:c r="G80" s="17"/>
      <x:c r="H80" s="17"/>
      <x:c r="I80" s="19" t="str">
        <x:f>IF(COUNT(G80:H80)&lt;2,"",G80-H80)</x:f>
      </x:c>
      <x:c r="J80" s="19" t="str">
        <x:f>IF(COUNT(I80)=0,"",I80/25.4)</x:f>
      </x:c>
      <x:c r="K80" s="11"/>
      <x:c r="L80" s="11"/>
    </x:row>
    <x:row r="81" ht="34" customHeight="1">
      <x:c r="A81" s="10" t="str">
        <x:v>I</x:v>
      </x:c>
      <x:c r="B81" s="10" t="str">
        <x:v>Wheel-house midpoint/peak</x:v>
      </x:c>
      <x:c r="C81" s="10" t="str">
        <x:v>600</x:v>
      </x:c>
      <x:c r="D81" s="18" t="n">
        <x:v>600</x:v>
      </x:c>
      <x:c r="E81" s="17"/>
      <x:c r="F81" s="17"/>
      <x:c r="G81" s="17"/>
      <x:c r="H81" s="17"/>
      <x:c r="I81" s="18" t="str">
        <x:f>IF(COUNT(G81:H81)&lt;2,"",G81-H81)</x:f>
      </x:c>
      <x:c r="J81" s="18" t="str">
        <x:f>IF(COUNT(I81)=0,"",I81/25.4)</x:f>
      </x:c>
      <x:c r="K81" s="10"/>
      <x:c r="L81" s="10"/>
    </x:row>
    <x:row r="82" ht="34" customHeight="1">
      <x:c r="A82" s="11" t="str">
        <x:v>I</x:v>
      </x:c>
      <x:c r="B82" s="11" t="str">
        <x:v>Wheel-house midpoint/peak</x:v>
      </x:c>
      <x:c r="C82" s="11" t="str">
        <x:v>750</x:v>
      </x:c>
      <x:c r="D82" s="19" t="n">
        <x:v>750</x:v>
      </x:c>
      <x:c r="E82" s="17"/>
      <x:c r="F82" s="17"/>
      <x:c r="G82" s="17"/>
      <x:c r="H82" s="17"/>
      <x:c r="I82" s="19" t="str">
        <x:f>IF(COUNT(G82:H82)&lt;2,"",G82-H82)</x:f>
      </x:c>
      <x:c r="J82" s="19" t="str">
        <x:f>IF(COUNT(I82)=0,"",I82/25.4)</x:f>
      </x:c>
      <x:c r="K82" s="11"/>
      <x:c r="L82" s="11"/>
    </x:row>
    <x:row r="83" ht="34" customHeight="1">
      <x:c r="A83" s="10" t="str">
        <x:v>I</x:v>
      </x:c>
      <x:c r="B83" s="10" t="str">
        <x:v>Wheel-house midpoint/peak</x:v>
      </x:c>
      <x:c r="C83" s="10" t="str">
        <x:v>900</x:v>
      </x:c>
      <x:c r="D83" s="18" t="n">
        <x:v>900</x:v>
      </x:c>
      <x:c r="E83" s="17"/>
      <x:c r="F83" s="17"/>
      <x:c r="G83" s="17"/>
      <x:c r="H83" s="17"/>
      <x:c r="I83" s="18" t="str">
        <x:f>IF(COUNT(G83:H83)&lt;2,"",G83-H83)</x:f>
      </x:c>
      <x:c r="J83" s="18" t="str">
        <x:f>IF(COUNT(I83)=0,"",I83/25.4)</x:f>
      </x:c>
      <x:c r="K83" s="10"/>
      <x:c r="L83" s="10"/>
    </x:row>
    <x:row r="84" ht="34" customHeight="1">
      <x:c r="A84" s="11" t="str">
        <x:v>I</x:v>
      </x:c>
      <x:c r="B84" s="11" t="str">
        <x:v>Wheel-house midpoint/peak</x:v>
      </x:c>
      <x:c r="C84" s="11" t="str">
        <x:v>beltline</x:v>
      </x:c>
      <x:c r="D84" s="19"/>
      <x:c r="E84" s="17"/>
      <x:c r="F84" s="17"/>
      <x:c r="G84" s="17"/>
      <x:c r="H84" s="17"/>
      <x:c r="I84" s="19" t="str">
        <x:f>IF(COUNT(G84:H84)&lt;2,"",G84-H84)</x:f>
      </x:c>
      <x:c r="J84" s="19" t="str">
        <x:f>IF(COUNT(I84)=0,"",I84/25.4)</x:f>
      </x:c>
      <x:c r="K84" s="11"/>
      <x:c r="L84" s="11"/>
    </x:row>
    <x:row r="85" ht="34" customHeight="1">
      <x:c r="A85" s="10" t="str">
        <x:v>I</x:v>
      </x:c>
      <x:c r="B85" s="10" t="str">
        <x:v>Wheel-house midpoint/peak</x:v>
      </x:c>
      <x:c r="C85" s="10" t="str">
        <x:v>headliner</x:v>
      </x:c>
      <x:c r="D85" s="18"/>
      <x:c r="E85" s="17"/>
      <x:c r="F85" s="17"/>
      <x:c r="G85" s="17"/>
      <x:c r="H85" s="17"/>
      <x:c r="I85" s="18" t="str">
        <x:f>IF(COUNT(G85:H85)&lt;2,"",G85-H85)</x:f>
      </x:c>
      <x:c r="J85" s="18" t="str">
        <x:f>IF(COUNT(I85)=0,"",I85/25.4)</x:f>
      </x:c>
      <x:c r="K85" s="10"/>
      <x:c r="L85" s="10"/>
    </x:row>
    <x:row r="86" ht="34" customHeight="1">
      <x:c r="A86" s="11" t="str">
        <x:v>J</x:v>
      </x:c>
      <x:c r="B86" s="11" t="str">
        <x:v>Cargo midpoint</x:v>
      </x:c>
      <x:c r="C86" s="11" t="str">
        <x:v>floor</x:v>
      </x:c>
      <x:c r="D86" s="19"/>
      <x:c r="E86" s="17"/>
      <x:c r="F86" s="17"/>
      <x:c r="G86" s="17"/>
      <x:c r="H86" s="17"/>
      <x:c r="I86" s="19" t="str">
        <x:f>IF(COUNT(G86:H86)&lt;2,"",G86-H86)</x:f>
      </x:c>
      <x:c r="J86" s="19" t="str">
        <x:f>IF(COUNT(I86)=0,"",I86/25.4)</x:f>
      </x:c>
      <x:c r="K86" s="11"/>
      <x:c r="L86" s="11"/>
    </x:row>
    <x:row r="87" ht="34" customHeight="1">
      <x:c r="A87" s="10" t="str">
        <x:v>J</x:v>
      </x:c>
      <x:c r="B87" s="10" t="str">
        <x:v>Cargo midpoint</x:v>
      </x:c>
      <x:c r="C87" s="10" t="str">
        <x:v>150</x:v>
      </x:c>
      <x:c r="D87" s="18" t="n">
        <x:v>150</x:v>
      </x:c>
      <x:c r="E87" s="17"/>
      <x:c r="F87" s="17"/>
      <x:c r="G87" s="17"/>
      <x:c r="H87" s="17"/>
      <x:c r="I87" s="18" t="str">
        <x:f>IF(COUNT(G87:H87)&lt;2,"",G87-H87)</x:f>
      </x:c>
      <x:c r="J87" s="18" t="str">
        <x:f>IF(COUNT(I87)=0,"",I87/25.4)</x:f>
      </x:c>
      <x:c r="K87" s="10"/>
      <x:c r="L87" s="10"/>
    </x:row>
    <x:row r="88" ht="34" customHeight="1">
      <x:c r="A88" s="11" t="str">
        <x:v>J</x:v>
      </x:c>
      <x:c r="B88" s="11" t="str">
        <x:v>Cargo midpoint</x:v>
      </x:c>
      <x:c r="C88" s="11" t="str">
        <x:v>300</x:v>
      </x:c>
      <x:c r="D88" s="19" t="n">
        <x:v>300</x:v>
      </x:c>
      <x:c r="E88" s="17"/>
      <x:c r="F88" s="17"/>
      <x:c r="G88" s="17"/>
      <x:c r="H88" s="17"/>
      <x:c r="I88" s="19" t="str">
        <x:f>IF(COUNT(G88:H88)&lt;2,"",G88-H88)</x:f>
      </x:c>
      <x:c r="J88" s="19" t="str">
        <x:f>IF(COUNT(I88)=0,"",I88/25.4)</x:f>
      </x:c>
      <x:c r="K88" s="11"/>
      <x:c r="L88" s="11"/>
    </x:row>
    <x:row r="89" ht="34" customHeight="1">
      <x:c r="A89" s="10" t="str">
        <x:v>J</x:v>
      </x:c>
      <x:c r="B89" s="10" t="str">
        <x:v>Cargo midpoint</x:v>
      </x:c>
      <x:c r="C89" s="10" t="str">
        <x:v>450</x:v>
      </x:c>
      <x:c r="D89" s="18" t="n">
        <x:v>450</x:v>
      </x:c>
      <x:c r="E89" s="17"/>
      <x:c r="F89" s="17"/>
      <x:c r="G89" s="17"/>
      <x:c r="H89" s="17"/>
      <x:c r="I89" s="18" t="str">
        <x:f>IF(COUNT(G89:H89)&lt;2,"",G89-H89)</x:f>
      </x:c>
      <x:c r="J89" s="18" t="str">
        <x:f>IF(COUNT(I89)=0,"",I89/25.4)</x:f>
      </x:c>
      <x:c r="K89" s="10"/>
      <x:c r="L89" s="10"/>
    </x:row>
    <x:row r="90" ht="34" customHeight="1">
      <x:c r="A90" s="11" t="str">
        <x:v>J</x:v>
      </x:c>
      <x:c r="B90" s="11" t="str">
        <x:v>Cargo midpoint</x:v>
      </x:c>
      <x:c r="C90" s="11" t="str">
        <x:v>600</x:v>
      </x:c>
      <x:c r="D90" s="19" t="n">
        <x:v>600</x:v>
      </x:c>
      <x:c r="E90" s="17"/>
      <x:c r="F90" s="17"/>
      <x:c r="G90" s="17"/>
      <x:c r="H90" s="17"/>
      <x:c r="I90" s="19" t="str">
        <x:f>IF(COUNT(G90:H90)&lt;2,"",G90-H90)</x:f>
      </x:c>
      <x:c r="J90" s="19" t="str">
        <x:f>IF(COUNT(I90)=0,"",I90/25.4)</x:f>
      </x:c>
      <x:c r="K90" s="11"/>
      <x:c r="L90" s="11"/>
    </x:row>
    <x:row r="91" ht="34" customHeight="1">
      <x:c r="A91" s="10" t="str">
        <x:v>J</x:v>
      </x:c>
      <x:c r="B91" s="10" t="str">
        <x:v>Cargo midpoint</x:v>
      </x:c>
      <x:c r="C91" s="10" t="str">
        <x:v>750</x:v>
      </x:c>
      <x:c r="D91" s="18" t="n">
        <x:v>750</x:v>
      </x:c>
      <x:c r="E91" s="17"/>
      <x:c r="F91" s="17"/>
      <x:c r="G91" s="17"/>
      <x:c r="H91" s="17"/>
      <x:c r="I91" s="18" t="str">
        <x:f>IF(COUNT(G91:H91)&lt;2,"",G91-H91)</x:f>
      </x:c>
      <x:c r="J91" s="18" t="str">
        <x:f>IF(COUNT(I91)=0,"",I91/25.4)</x:f>
      </x:c>
      <x:c r="K91" s="10"/>
      <x:c r="L91" s="10"/>
    </x:row>
    <x:row r="92" ht="34" customHeight="1">
      <x:c r="A92" s="11" t="str">
        <x:v>J</x:v>
      </x:c>
      <x:c r="B92" s="11" t="str">
        <x:v>Cargo midpoint</x:v>
      </x:c>
      <x:c r="C92" s="11" t="str">
        <x:v>900</x:v>
      </x:c>
      <x:c r="D92" s="19" t="n">
        <x:v>900</x:v>
      </x:c>
      <x:c r="E92" s="17"/>
      <x:c r="F92" s="17"/>
      <x:c r="G92" s="17"/>
      <x:c r="H92" s="17"/>
      <x:c r="I92" s="19" t="str">
        <x:f>IF(COUNT(G92:H92)&lt;2,"",G92-H92)</x:f>
      </x:c>
      <x:c r="J92" s="19" t="str">
        <x:f>IF(COUNT(I92)=0,"",I92/25.4)</x:f>
      </x:c>
      <x:c r="K92" s="11"/>
      <x:c r="L92" s="11"/>
    </x:row>
    <x:row r="93" ht="34" customHeight="1">
      <x:c r="A93" s="10" t="str">
        <x:v>J</x:v>
      </x:c>
      <x:c r="B93" s="10" t="str">
        <x:v>Cargo midpoint</x:v>
      </x:c>
      <x:c r="C93" s="10" t="str">
        <x:v>beltline</x:v>
      </x:c>
      <x:c r="D93" s="18"/>
      <x:c r="E93" s="17"/>
      <x:c r="F93" s="17"/>
      <x:c r="G93" s="17"/>
      <x:c r="H93" s="17"/>
      <x:c r="I93" s="18" t="str">
        <x:f>IF(COUNT(G93:H93)&lt;2,"",G93-H93)</x:f>
      </x:c>
      <x:c r="J93" s="18" t="str">
        <x:f>IF(COUNT(I93)=0,"",I93/25.4)</x:f>
      </x:c>
      <x:c r="K93" s="10"/>
      <x:c r="L93" s="10"/>
    </x:row>
    <x:row r="94" ht="34" customHeight="1">
      <x:c r="A94" s="11" t="str">
        <x:v>J</x:v>
      </x:c>
      <x:c r="B94" s="11" t="str">
        <x:v>Cargo midpoint</x:v>
      </x:c>
      <x:c r="C94" s="11" t="str">
        <x:v>headliner</x:v>
      </x:c>
      <x:c r="D94" s="19"/>
      <x:c r="E94" s="17"/>
      <x:c r="F94" s="17"/>
      <x:c r="G94" s="17"/>
      <x:c r="H94" s="17"/>
      <x:c r="I94" s="19" t="str">
        <x:f>IF(COUNT(G94:H94)&lt;2,"",G94-H94)</x:f>
      </x:c>
      <x:c r="J94" s="19" t="str">
        <x:f>IF(COUNT(I94)=0,"",I94/25.4)</x:f>
      </x:c>
      <x:c r="K94" s="11"/>
      <x:c r="L94" s="11"/>
    </x:row>
    <x:row r="95" ht="34" customHeight="1">
      <x:c r="A95" s="10" t="str">
        <x:v>K</x:v>
      </x:c>
      <x:c r="B95" s="10" t="str">
        <x:v>Hatch aperture</x:v>
      </x:c>
      <x:c r="C95" s="10" t="str">
        <x:v>floor</x:v>
      </x:c>
      <x:c r="D95" s="18"/>
      <x:c r="E95" s="17"/>
      <x:c r="F95" s="17"/>
      <x:c r="G95" s="17"/>
      <x:c r="H95" s="17"/>
      <x:c r="I95" s="18" t="str">
        <x:f>IF(COUNT(G95:H95)&lt;2,"",G95-H95)</x:f>
      </x:c>
      <x:c r="J95" s="18" t="str">
        <x:f>IF(COUNT(I95)=0,"",I95/25.4)</x:f>
      </x:c>
      <x:c r="K95" s="10"/>
      <x:c r="L95" s="10"/>
    </x:row>
    <x:row r="96" ht="34" customHeight="1">
      <x:c r="A96" s="11" t="str">
        <x:v>K</x:v>
      </x:c>
      <x:c r="B96" s="11" t="str">
        <x:v>Hatch aperture</x:v>
      </x:c>
      <x:c r="C96" s="11" t="str">
        <x:v>150</x:v>
      </x:c>
      <x:c r="D96" s="19" t="n">
        <x:v>150</x:v>
      </x:c>
      <x:c r="E96" s="17"/>
      <x:c r="F96" s="17"/>
      <x:c r="G96" s="17"/>
      <x:c r="H96" s="17"/>
      <x:c r="I96" s="19" t="str">
        <x:f>IF(COUNT(G96:H96)&lt;2,"",G96-H96)</x:f>
      </x:c>
      <x:c r="J96" s="19" t="str">
        <x:f>IF(COUNT(I96)=0,"",I96/25.4)</x:f>
      </x:c>
      <x:c r="K96" s="11"/>
      <x:c r="L96" s="11"/>
    </x:row>
    <x:row r="97" ht="34" customHeight="1">
      <x:c r="A97" s="10" t="str">
        <x:v>K</x:v>
      </x:c>
      <x:c r="B97" s="10" t="str">
        <x:v>Hatch aperture</x:v>
      </x:c>
      <x:c r="C97" s="10" t="str">
        <x:v>300</x:v>
      </x:c>
      <x:c r="D97" s="18" t="n">
        <x:v>300</x:v>
      </x:c>
      <x:c r="E97" s="17"/>
      <x:c r="F97" s="17"/>
      <x:c r="G97" s="17"/>
      <x:c r="H97" s="17"/>
      <x:c r="I97" s="18" t="str">
        <x:f>IF(COUNT(G97:H97)&lt;2,"",G97-H97)</x:f>
      </x:c>
      <x:c r="J97" s="18" t="str">
        <x:f>IF(COUNT(I97)=0,"",I97/25.4)</x:f>
      </x:c>
      <x:c r="K97" s="10"/>
      <x:c r="L97" s="10"/>
    </x:row>
    <x:row r="98" ht="34" customHeight="1">
      <x:c r="A98" s="11" t="str">
        <x:v>K</x:v>
      </x:c>
      <x:c r="B98" s="11" t="str">
        <x:v>Hatch aperture</x:v>
      </x:c>
      <x:c r="C98" s="11" t="str">
        <x:v>450</x:v>
      </x:c>
      <x:c r="D98" s="19" t="n">
        <x:v>450</x:v>
      </x:c>
      <x:c r="E98" s="17"/>
      <x:c r="F98" s="17"/>
      <x:c r="G98" s="17"/>
      <x:c r="H98" s="17"/>
      <x:c r="I98" s="19" t="str">
        <x:f>IF(COUNT(G98:H98)&lt;2,"",G98-H98)</x:f>
      </x:c>
      <x:c r="J98" s="19" t="str">
        <x:f>IF(COUNT(I98)=0,"",I98/25.4)</x:f>
      </x:c>
      <x:c r="K98" s="11"/>
      <x:c r="L98" s="11"/>
    </x:row>
    <x:row r="99" ht="34" customHeight="1">
      <x:c r="A99" s="10" t="str">
        <x:v>K</x:v>
      </x:c>
      <x:c r="B99" s="10" t="str">
        <x:v>Hatch aperture</x:v>
      </x:c>
      <x:c r="C99" s="10" t="str">
        <x:v>600</x:v>
      </x:c>
      <x:c r="D99" s="18" t="n">
        <x:v>600</x:v>
      </x:c>
      <x:c r="E99" s="17"/>
      <x:c r="F99" s="17"/>
      <x:c r="G99" s="17"/>
      <x:c r="H99" s="17"/>
      <x:c r="I99" s="18" t="str">
        <x:f>IF(COUNT(G99:H99)&lt;2,"",G99-H99)</x:f>
      </x:c>
      <x:c r="J99" s="18" t="str">
        <x:f>IF(COUNT(I99)=0,"",I99/25.4)</x:f>
      </x:c>
      <x:c r="K99" s="10"/>
      <x:c r="L99" s="10"/>
    </x:row>
    <x:row r="100" ht="34" customHeight="1">
      <x:c r="A100" s="11" t="str">
        <x:v>K</x:v>
      </x:c>
      <x:c r="B100" s="11" t="str">
        <x:v>Hatch aperture</x:v>
      </x:c>
      <x:c r="C100" s="11" t="str">
        <x:v>750</x:v>
      </x:c>
      <x:c r="D100" s="19" t="n">
        <x:v>750</x:v>
      </x:c>
      <x:c r="E100" s="17"/>
      <x:c r="F100" s="17"/>
      <x:c r="G100" s="17"/>
      <x:c r="H100" s="17"/>
      <x:c r="I100" s="19" t="str">
        <x:f>IF(COUNT(G100:H100)&lt;2,"",G100-H100)</x:f>
      </x:c>
      <x:c r="J100" s="19" t="str">
        <x:f>IF(COUNT(I100)=0,"",I100/25.4)</x:f>
      </x:c>
      <x:c r="K100" s="11"/>
      <x:c r="L100" s="11"/>
    </x:row>
    <x:row r="101" ht="34" customHeight="1">
      <x:c r="A101" s="10" t="str">
        <x:v>K</x:v>
      </x:c>
      <x:c r="B101" s="10" t="str">
        <x:v>Hatch aperture</x:v>
      </x:c>
      <x:c r="C101" s="10" t="str">
        <x:v>900</x:v>
      </x:c>
      <x:c r="D101" s="18" t="n">
        <x:v>900</x:v>
      </x:c>
      <x:c r="E101" s="17"/>
      <x:c r="F101" s="17"/>
      <x:c r="G101" s="17"/>
      <x:c r="H101" s="17"/>
      <x:c r="I101" s="18" t="str">
        <x:f>IF(COUNT(G101:H101)&lt;2,"",G101-H101)</x:f>
      </x:c>
      <x:c r="J101" s="18" t="str">
        <x:f>IF(COUNT(I101)=0,"",I101/25.4)</x:f>
      </x:c>
      <x:c r="K101" s="10"/>
      <x:c r="L101" s="10"/>
    </x:row>
    <x:row r="102" ht="34" customHeight="1">
      <x:c r="A102" s="11" t="str">
        <x:v>K</x:v>
      </x:c>
      <x:c r="B102" s="11" t="str">
        <x:v>Hatch aperture</x:v>
      </x:c>
      <x:c r="C102" s="11" t="str">
        <x:v>beltline</x:v>
      </x:c>
      <x:c r="D102" s="19"/>
      <x:c r="E102" s="17"/>
      <x:c r="F102" s="17"/>
      <x:c r="G102" s="17"/>
      <x:c r="H102" s="17"/>
      <x:c r="I102" s="19" t="str">
        <x:f>IF(COUNT(G102:H102)&lt;2,"",G102-H102)</x:f>
      </x:c>
      <x:c r="J102" s="19" t="str">
        <x:f>IF(COUNT(I102)=0,"",I102/25.4)</x:f>
      </x:c>
      <x:c r="K102" s="11"/>
      <x:c r="L102" s="11"/>
    </x:row>
    <x:row r="103" ht="34" customHeight="1">
      <x:c r="A103" s="10" t="str">
        <x:v>K</x:v>
      </x:c>
      <x:c r="B103" s="10" t="str">
        <x:v>Hatch aperture</x:v>
      </x:c>
      <x:c r="C103" s="10" t="str">
        <x:v>headliner</x:v>
      </x:c>
      <x:c r="D103" s="18"/>
      <x:c r="E103" s="17"/>
      <x:c r="F103" s="17"/>
      <x:c r="G103" s="17"/>
      <x:c r="H103" s="17"/>
      <x:c r="I103" s="18" t="str">
        <x:f>IF(COUNT(G103:H103)&lt;2,"",G103-H103)</x:f>
      </x:c>
      <x:c r="J103" s="18" t="str">
        <x:f>IF(COUNT(I103)=0,"",I103/25.4)</x:f>
      </x:c>
      <x:c r="K103" s="10"/>
      <x:c r="L103" s="10"/>
    </x:row>
  </x:sheetData>
  <x:pageMargins left="0.7" right="0.7" top="0.75" bottom="0.75" header="0.3" footer="0.3"/>
  <x:tableParts count="1">
    <x:tablePart xmlns:r="http://schemas.openxmlformats.org/officeDocument/2006/relationships" r:id="R07f73ef2c3464e8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49" hidden="0" customWidth="1"/>
    <x:col min="3" max="3" width="15" hidden="0" customWidth="1"/>
    <x:col min="4" max="4" width="15" hidden="0" customWidth="1"/>
    <x:col min="5" max="5" width="18" hidden="0" customWidth="1"/>
    <x:col min="6" max="6" width="15" hidden="0" customWidth="1"/>
    <x:col min="7" max="7" width="17" hidden="0" customWidth="1"/>
    <x:col min="8" max="8" width="19" hidden="0" customWidth="1"/>
    <x:col min="9" max="9" width="31" hidden="0" customWidth="1"/>
    <x:col min="10" max="10" width="15" hidden="0" customWidth="1"/>
    <x:col min="11" max="11" width="15" hidden="0" customWidth="1"/>
    <x:col min="12" max="12" width="52" hidden="0" customWidth="1"/>
    <x:col min="13" max="13" width="13" hidden="0" customWidth="1"/>
    <x:col min="14" max="14" width="10" hidden="0" customWidth="1"/>
    <x:col min="15" max="15" width="35" hidden="0" customWidth="1"/>
    <x:col min="16" max="16" width="60" hidden="0" customWidth="1"/>
  </x:cols>
  <x:sheetData>
    <x:row r="1">
      <x:c r="A1" s="3" t="str">
        <x:v>Planned independent validation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4" t="str">
        <x:v>No model exists. Supply source/class, matched configuration and uncertainty before accepting a tolerance check.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34" customHeight="1">
      <x:c r="A4" s="8" t="str">
        <x:v>ID</x:v>
      </x:c>
      <x:c r="B4" s="8" t="str">
        <x:v>Check</x:v>
      </x:c>
      <x:c r="C4" s="8" t="str">
        <x:v>Real mm</x:v>
      </x:c>
      <x:c r="D4" s="8" t="str">
        <x:v>Model mm</x:v>
      </x:c>
      <x:c r="E4" s="8" t="str">
        <x:v>Difference mm</x:v>
      </x:c>
      <x:c r="F4" s="8" t="str">
        <x:v>Error %</x:v>
      </x:c>
      <x:c r="G4" s="8" t="str">
        <x:v>Tolerance mm</x:v>
      </x:c>
      <x:c r="H4" s="8" t="str">
        <x:v>Uncertainty mm</x:v>
      </x:c>
      <x:c r="I4" s="8" t="str">
        <x:v>Result</x:v>
      </x:c>
      <x:c r="J4" s="8" t="str">
        <x:v>Real in</x:v>
      </x:c>
      <x:c r="K4" s="8" t="str">
        <x:v>Model in</x:v>
      </x:c>
      <x:c r="L4" s="8" t="str">
        <x:v>Source / photo</x:v>
      </x:c>
      <x:c r="M4" s="8" t="str">
        <x:v>Confidence</x:v>
      </x:c>
      <x:c r="N4" s="8" t="str">
        <x:v>Class</x:v>
      </x:c>
      <x:c r="O4" s="8" t="str">
        <x:v>Configuration</x:v>
      </x:c>
      <x:c r="P4" s="8" t="str">
        <x:v>Point IDs / algorithm</x:v>
      </x:c>
    </x:row>
    <x:row r="5" ht="34" customHeight="1">
      <x:c r="A5" s="10" t="str">
        <x:v>V01</x:v>
      </x:c>
      <x:c r="B5" s="10" t="str">
        <x:v>Row 2 width at B, cushion level</x:v>
      </x:c>
      <x:c r="C5" s="17"/>
      <x:c r="D5" s="17"/>
      <x:c r="E5" s="18" t="str">
        <x:f>IF(COUNT(C5:D5)&lt;2,"",D5-C5)</x:f>
      </x:c>
      <x:c r="F5" s="20" t="str">
        <x:f>IF(OR(COUNT(C5:D5)&lt;2,C5=0),"",E5/C5)</x:f>
      </x:c>
      <x:c r="G5" s="18" t="n">
        <x:v>5</x:v>
      </x:c>
      <x:c r="H5" s="17"/>
      <x:c r="I5" s="10" t="str">
        <x:f>IF(COUNT(C5:D5)&lt;2,"NOT MEASURED",IF(OR(L5="",M5="",N5="",O5="",P5=""),"NEEDS PROVENANCE",IF(N5="D","UNVERIFIED SOURCE",IF(COUNT(H5)=0,"NEEDS UNCERTAINTY",IF(H5&lt;0,"INVALID UNCERTAINTY",IF(ABS(E5)+H5&lt;=G5,"WITHIN TOLERANCE","REVIEW REQUIRED"))))))</x:f>
        <x:v>NOT MEASURED</x:v>
      </x:c>
      <x:c r="J5" s="12" t="str">
        <x:f>IF(COUNT(C5)=0,"",C5/25.4)</x:f>
      </x:c>
      <x:c r="K5" s="12" t="str">
        <x:f>IF(COUNT(D5)=0,"",D5/25.4)</x:f>
      </x:c>
      <x:c r="L5" s="16"/>
      <x:c r="M5" s="16"/>
      <x:c r="N5" s="16"/>
      <x:c r="O5" s="16"/>
      <x:c r="P5" s="16"/>
    </x:row>
    <x:row r="6" ht="34" customHeight="1">
      <x:c r="A6" s="11" t="str">
        <x:v>V02</x:v>
      </x:c>
      <x:c r="B6" s="11" t="str">
        <x:v>Row 2 width at C, armrest level</x:v>
      </x:c>
      <x:c r="C6" s="17"/>
      <x:c r="D6" s="17"/>
      <x:c r="E6" s="19" t="str">
        <x:f>IF(COUNT(C6:D6)&lt;2,"",D6-C6)</x:f>
      </x:c>
      <x:c r="F6" s="21" t="str">
        <x:f>IF(OR(COUNT(C6:D6)&lt;2,C6=0),"",E6/C6)</x:f>
      </x:c>
      <x:c r="G6" s="19" t="n">
        <x:v>5</x:v>
      </x:c>
      <x:c r="H6" s="17"/>
      <x:c r="I6" s="11" t="str">
        <x:f>IF(COUNT(C6:D6)&lt;2,"NOT MEASURED",IF(OR(L6="",M6="",N6="",O6="",P6=""),"NEEDS PROVENANCE",IF(N6="D","UNVERIFIED SOURCE",IF(COUNT(H6)=0,"NEEDS UNCERTAINTY",IF(H6&lt;0,"INVALID UNCERTAINTY",IF(ABS(E6)+H6&lt;=G6,"WITHIN TOLERANCE","REVIEW REQUIRED"))))))</x:f>
        <x:v>NOT MEASURED</x:v>
      </x:c>
      <x:c r="J6" s="13" t="str">
        <x:f>IF(COUNT(C6)=0,"",C6/25.4)</x:f>
      </x:c>
      <x:c r="K6" s="13" t="str">
        <x:f>IF(COUNT(D6)=0,"",D6/25.4)</x:f>
      </x:c>
      <x:c r="L6" s="16"/>
      <x:c r="M6" s="16"/>
      <x:c r="N6" s="16"/>
      <x:c r="O6" s="16"/>
      <x:c r="P6" s="16"/>
    </x:row>
    <x:row r="7" ht="34" customHeight="1">
      <x:c r="A7" s="10" t="str">
        <x:v>V03</x:v>
      </x:c>
      <x:c r="B7" s="10" t="str">
        <x:v>Row 2 width at D, shoulder level</x:v>
      </x:c>
      <x:c r="C7" s="17"/>
      <x:c r="D7" s="17"/>
      <x:c r="E7" s="18" t="str">
        <x:f>IF(COUNT(C7:D7)&lt;2,"",D7-C7)</x:f>
      </x:c>
      <x:c r="F7" s="20" t="str">
        <x:f>IF(OR(COUNT(C7:D7)&lt;2,C7=0),"",E7/C7)</x:f>
      </x:c>
      <x:c r="G7" s="18" t="n">
        <x:v>5</x:v>
      </x:c>
      <x:c r="H7" s="17"/>
      <x:c r="I7" s="10" t="str">
        <x:f>IF(COUNT(C7:D7)&lt;2,"NOT MEASURED",IF(OR(L7="",M7="",N7="",O7="",P7=""),"NEEDS PROVENANCE",IF(N7="D","UNVERIFIED SOURCE",IF(COUNT(H7)=0,"NEEDS UNCERTAINTY",IF(H7&lt;0,"INVALID UNCERTAINTY",IF(ABS(E7)+H7&lt;=G7,"WITHIN TOLERANCE","REVIEW REQUIRED"))))))</x:f>
        <x:v>NOT MEASURED</x:v>
      </x:c>
      <x:c r="J7" s="12" t="str">
        <x:f>IF(COUNT(C7)=0,"",C7/25.4)</x:f>
      </x:c>
      <x:c r="K7" s="12" t="str">
        <x:f>IF(COUNT(D7)=0,"",D7/25.4)</x:f>
      </x:c>
      <x:c r="L7" s="16"/>
      <x:c r="M7" s="16"/>
      <x:c r="N7" s="16"/>
      <x:c r="O7" s="16"/>
      <x:c r="P7" s="16"/>
    </x:row>
    <x:row r="8" ht="34" customHeight="1">
      <x:c r="A8" s="11" t="str">
        <x:v>V04</x:v>
      </x:c>
      <x:c r="B8" s="11" t="str">
        <x:v>B left floor elevation</x:v>
      </x:c>
      <x:c r="C8" s="17"/>
      <x:c r="D8" s="17"/>
      <x:c r="E8" s="19" t="str">
        <x:f>IF(COUNT(C8:D8)&lt;2,"",D8-C8)</x:f>
      </x:c>
      <x:c r="F8" s="21" t="str">
        <x:f>IF(OR(COUNT(C8:D8)&lt;2,C8=0),"",E8/C8)</x:f>
      </x:c>
      <x:c r="G8" s="19" t="n">
        <x:v>5</x:v>
      </x:c>
      <x:c r="H8" s="17"/>
      <x:c r="I8" s="11" t="str">
        <x:f>IF(COUNT(C8:D8)&lt;2,"NOT MEASURED",IF(OR(L8="",M8="",N8="",O8="",P8=""),"NEEDS PROVENANCE",IF(N8="D","UNVERIFIED SOURCE",IF(COUNT(H8)=0,"NEEDS UNCERTAINTY",IF(H8&lt;0,"INVALID UNCERTAINTY",IF(ABS(E8)+H8&lt;=G8,"WITHIN TOLERANCE","REVIEW REQUIRED"))))))</x:f>
        <x:v>NOT MEASURED</x:v>
      </x:c>
      <x:c r="J8" s="13" t="str">
        <x:f>IF(COUNT(C8)=0,"",C8/25.4)</x:f>
      </x:c>
      <x:c r="K8" s="13" t="str">
        <x:f>IF(COUNT(D8)=0,"",D8/25.4)</x:f>
      </x:c>
      <x:c r="L8" s="16"/>
      <x:c r="M8" s="16"/>
      <x:c r="N8" s="16"/>
      <x:c r="O8" s="16"/>
      <x:c r="P8" s="16"/>
    </x:row>
    <x:row r="9" ht="34" customHeight="1">
      <x:c r="A9" s="10" t="str">
        <x:v>V05</x:v>
      </x:c>
      <x:c r="B9" s="10" t="str">
        <x:v>B right floor elevation</x:v>
      </x:c>
      <x:c r="C9" s="17"/>
      <x:c r="D9" s="17"/>
      <x:c r="E9" s="18" t="str">
        <x:f>IF(COUNT(C9:D9)&lt;2,"",D9-C9)</x:f>
      </x:c>
      <x:c r="F9" s="20" t="str">
        <x:f>IF(OR(COUNT(C9:D9)&lt;2,C9=0),"",E9/C9)</x:f>
      </x:c>
      <x:c r="G9" s="18" t="n">
        <x:v>5</x:v>
      </x:c>
      <x:c r="H9" s="17"/>
      <x:c r="I9" s="10" t="str">
        <x:f>IF(COUNT(C9:D9)&lt;2,"NOT MEASURED",IF(OR(L9="",M9="",N9="",O9="",P9=""),"NEEDS PROVENANCE",IF(N9="D","UNVERIFIED SOURCE",IF(COUNT(H9)=0,"NEEDS UNCERTAINTY",IF(H9&lt;0,"INVALID UNCERTAINTY",IF(ABS(E9)+H9&lt;=G9,"WITHIN TOLERANCE","REVIEW REQUIRED"))))))</x:f>
        <x:v>NOT MEASURED</x:v>
      </x:c>
      <x:c r="J9" s="12" t="str">
        <x:f>IF(COUNT(C9)=0,"",C9/25.4)</x:f>
      </x:c>
      <x:c r="K9" s="12" t="str">
        <x:f>IF(COUNT(D9)=0,"",D9/25.4)</x:f>
      </x:c>
      <x:c r="L9" s="16"/>
      <x:c r="M9" s="16"/>
      <x:c r="N9" s="16"/>
      <x:c r="O9" s="16"/>
      <x:c r="P9" s="16"/>
    </x:row>
    <x:row r="10" ht="34" customHeight="1">
      <x:c r="A10" s="11" t="str">
        <x:v>V06</x:v>
      </x:c>
      <x:c r="B10" s="11" t="str">
        <x:v>D left floor elevation</x:v>
      </x:c>
      <x:c r="C10" s="17"/>
      <x:c r="D10" s="17"/>
      <x:c r="E10" s="19" t="str">
        <x:f>IF(COUNT(C10:D10)&lt;2,"",D10-C10)</x:f>
      </x:c>
      <x:c r="F10" s="21" t="str">
        <x:f>IF(OR(COUNT(C10:D10)&lt;2,C10=0),"",E10/C10)</x:f>
      </x:c>
      <x:c r="G10" s="19" t="n">
        <x:v>5</x:v>
      </x:c>
      <x:c r="H10" s="17"/>
      <x:c r="I10" s="11" t="str">
        <x:f>IF(COUNT(C10:D10)&lt;2,"NOT MEASURED",IF(OR(L10="",M10="",N10="",O10="",P10=""),"NEEDS PROVENANCE",IF(N10="D","UNVERIFIED SOURCE",IF(COUNT(H10)=0,"NEEDS UNCERTAINTY",IF(H10&lt;0,"INVALID UNCERTAINTY",IF(ABS(E10)+H10&lt;=G10,"WITHIN TOLERANCE","REVIEW REQUIRED"))))))</x:f>
        <x:v>NOT MEASURED</x:v>
      </x:c>
      <x:c r="J10" s="13" t="str">
        <x:f>IF(COUNT(C10)=0,"",C10/25.4)</x:f>
      </x:c>
      <x:c r="K10" s="13" t="str">
        <x:f>IF(COUNT(D10)=0,"",D10/25.4)</x:f>
      </x:c>
      <x:c r="L10" s="16"/>
      <x:c r="M10" s="16"/>
      <x:c r="N10" s="16"/>
      <x:c r="O10" s="16"/>
      <x:c r="P10" s="16"/>
    </x:row>
    <x:row r="11" ht="34" customHeight="1">
      <x:c r="A11" s="10" t="str">
        <x:v>V07</x:v>
      </x:c>
      <x:c r="B11" s="10" t="str">
        <x:v>D right floor elevation</x:v>
      </x:c>
      <x:c r="C11" s="17"/>
      <x:c r="D11" s="17"/>
      <x:c r="E11" s="18" t="str">
        <x:f>IF(COUNT(C11:D11)&lt;2,"",D11-C11)</x:f>
      </x:c>
      <x:c r="F11" s="20" t="str">
        <x:f>IF(OR(COUNT(C11:D11)&lt;2,C11=0),"",E11/C11)</x:f>
      </x:c>
      <x:c r="G11" s="18" t="n">
        <x:v>5</x:v>
      </x:c>
      <x:c r="H11" s="17"/>
      <x:c r="I11" s="10" t="str">
        <x:f>IF(COUNT(C11:D11)&lt;2,"NOT MEASURED",IF(OR(L11="",M11="",N11="",O11="",P11=""),"NEEDS PROVENANCE",IF(N11="D","UNVERIFIED SOURCE",IF(COUNT(H11)=0,"NEEDS UNCERTAINTY",IF(H11&lt;0,"INVALID UNCERTAINTY",IF(ABS(E11)+H11&lt;=G11,"WITHIN TOLERANCE","REVIEW REQUIRED"))))))</x:f>
        <x:v>NOT MEASURED</x:v>
      </x:c>
      <x:c r="J11" s="12" t="str">
        <x:f>IF(COUNT(C11)=0,"",C11/25.4)</x:f>
      </x:c>
      <x:c r="K11" s="12" t="str">
        <x:f>IF(COUNT(D11)=0,"",D11/25.4)</x:f>
      </x:c>
      <x:c r="L11" s="16"/>
      <x:c r="M11" s="16"/>
      <x:c r="N11" s="16"/>
      <x:c r="O11" s="16"/>
      <x:c r="P11" s="16"/>
    </x:row>
    <x:row r="12" ht="34" customHeight="1">
      <x:c r="A12" s="11" t="str">
        <x:v>V08</x:v>
      </x:c>
      <x:c r="B12" s="11" t="str">
        <x:v>Left rail corridor longitudinal span</x:v>
      </x:c>
      <x:c r="C12" s="17"/>
      <x:c r="D12" s="17"/>
      <x:c r="E12" s="19" t="str">
        <x:f>IF(COUNT(C12:D12)&lt;2,"",D12-C12)</x:f>
      </x:c>
      <x:c r="F12" s="21" t="str">
        <x:f>IF(OR(COUNT(C12:D12)&lt;2,C12=0),"",E12/C12)</x:f>
      </x:c>
      <x:c r="G12" s="19" t="n">
        <x:v>5</x:v>
      </x:c>
      <x:c r="H12" s="17"/>
      <x:c r="I12" s="11" t="str">
        <x:f>IF(COUNT(C12:D12)&lt;2,"NOT MEASURED",IF(OR(L12="",M12="",N12="",O12="",P12=""),"NEEDS PROVENANCE",IF(N12="D","UNVERIFIED SOURCE",IF(COUNT(H12)=0,"NEEDS UNCERTAINTY",IF(H12&lt;0,"INVALID UNCERTAINTY",IF(ABS(E12)+H12&lt;=G12,"WITHIN TOLERANCE","REVIEW REQUIRED"))))))</x:f>
        <x:v>NOT MEASURED</x:v>
      </x:c>
      <x:c r="J12" s="13" t="str">
        <x:f>IF(COUNT(C12)=0,"",C12/25.4)</x:f>
      </x:c>
      <x:c r="K12" s="13" t="str">
        <x:f>IF(COUNT(D12)=0,"",D12/25.4)</x:f>
      </x:c>
      <x:c r="L12" s="16"/>
      <x:c r="M12" s="16"/>
      <x:c r="N12" s="16"/>
      <x:c r="O12" s="16"/>
      <x:c r="P12" s="16"/>
    </x:row>
    <x:row r="13" ht="34" customHeight="1">
      <x:c r="A13" s="10" t="str">
        <x:v>V09</x:v>
      </x:c>
      <x:c r="B13" s="10" t="str">
        <x:v>Right rail corridor longitudinal span</x:v>
      </x:c>
      <x:c r="C13" s="17"/>
      <x:c r="D13" s="17"/>
      <x:c r="E13" s="18" t="str">
        <x:f>IF(COUNT(C13:D13)&lt;2,"",D13-C13)</x:f>
      </x:c>
      <x:c r="F13" s="20" t="str">
        <x:f>IF(OR(COUNT(C13:D13)&lt;2,C13=0),"",E13/C13)</x:f>
      </x:c>
      <x:c r="G13" s="18" t="n">
        <x:v>5</x:v>
      </x:c>
      <x:c r="H13" s="17"/>
      <x:c r="I13" s="10" t="str">
        <x:f>IF(COUNT(C13:D13)&lt;2,"NOT MEASURED",IF(OR(L13="",M13="",N13="",O13="",P13=""),"NEEDS PROVENANCE",IF(N13="D","UNVERIFIED SOURCE",IF(COUNT(H13)=0,"NEEDS UNCERTAINTY",IF(H13&lt;0,"INVALID UNCERTAINTY",IF(ABS(E13)+H13&lt;=G13,"WITHIN TOLERANCE","REVIEW REQUIRED"))))))</x:f>
        <x:v>NOT MEASURED</x:v>
      </x:c>
      <x:c r="J13" s="12" t="str">
        <x:f>IF(COUNT(C13)=0,"",C13/25.4)</x:f>
      </x:c>
      <x:c r="K13" s="12" t="str">
        <x:f>IF(COUNT(D13)=0,"",D13/25.4)</x:f>
      </x:c>
      <x:c r="L13" s="16"/>
      <x:c r="M13" s="16"/>
      <x:c r="N13" s="16"/>
      <x:c r="O13" s="16"/>
      <x:c r="P13" s="16"/>
    </x:row>
    <x:row r="14" ht="34" customHeight="1">
      <x:c r="A14" s="11" t="str">
        <x:v>V10</x:v>
      </x:c>
      <x:c r="B14" s="11" t="str">
        <x:v>Fixed mount pair lateral spacing</x:v>
      </x:c>
      <x:c r="C14" s="17"/>
      <x:c r="D14" s="17"/>
      <x:c r="E14" s="19" t="str">
        <x:f>IF(COUNT(C14:D14)&lt;2,"",D14-C14)</x:f>
      </x:c>
      <x:c r="F14" s="21" t="str">
        <x:f>IF(OR(COUNT(C14:D14)&lt;2,C14=0),"",E14/C14)</x:f>
      </x:c>
      <x:c r="G14" s="19" t="n">
        <x:v>5</x:v>
      </x:c>
      <x:c r="H14" s="17"/>
      <x:c r="I14" s="11" t="str">
        <x:f>IF(COUNT(C14:D14)&lt;2,"NOT MEASURED",IF(OR(L14="",M14="",N14="",O14="",P14=""),"NEEDS PROVENANCE",IF(N14="D","UNVERIFIED SOURCE",IF(COUNT(H14)=0,"NEEDS UNCERTAINTY",IF(H14&lt;0,"INVALID UNCERTAINTY",IF(ABS(E14)+H14&lt;=G14,"WITHIN TOLERANCE","REVIEW REQUIRED"))))))</x:f>
        <x:v>NOT MEASURED</x:v>
      </x:c>
      <x:c r="J14" s="13" t="str">
        <x:f>IF(COUNT(C14)=0,"",C14/25.4)</x:f>
      </x:c>
      <x:c r="K14" s="13" t="str">
        <x:f>IF(COUNT(D14)=0,"",D14/25.4)</x:f>
      </x:c>
      <x:c r="L14" s="16"/>
      <x:c r="M14" s="16"/>
      <x:c r="N14" s="16"/>
      <x:c r="O14" s="16"/>
      <x:c r="P14" s="16"/>
    </x:row>
    <x:row r="15" ht="34" customHeight="1">
      <x:c r="A15" s="10" t="str">
        <x:v>V11</x:v>
      </x:c>
      <x:c r="B15" s="10" t="str">
        <x:v>Left fixed mount longitudinal spacing</x:v>
      </x:c>
      <x:c r="C15" s="17"/>
      <x:c r="D15" s="17"/>
      <x:c r="E15" s="18" t="str">
        <x:f>IF(COUNT(C15:D15)&lt;2,"",D15-C15)</x:f>
      </x:c>
      <x:c r="F15" s="20" t="str">
        <x:f>IF(OR(COUNT(C15:D15)&lt;2,C15=0),"",E15/C15)</x:f>
      </x:c>
      <x:c r="G15" s="18" t="n">
        <x:v>5</x:v>
      </x:c>
      <x:c r="H15" s="17"/>
      <x:c r="I15" s="10" t="str">
        <x:f>IF(COUNT(C15:D15)&lt;2,"NOT MEASURED",IF(OR(L15="",M15="",N15="",O15="",P15=""),"NEEDS PROVENANCE",IF(N15="D","UNVERIFIED SOURCE",IF(COUNT(H15)=0,"NEEDS UNCERTAINTY",IF(H15&lt;0,"INVALID UNCERTAINTY",IF(ABS(E15)+H15&lt;=G15,"WITHIN TOLERANCE","REVIEW REQUIRED"))))))</x:f>
        <x:v>NOT MEASURED</x:v>
      </x:c>
      <x:c r="J15" s="12" t="str">
        <x:f>IF(COUNT(C15)=0,"",C15/25.4)</x:f>
      </x:c>
      <x:c r="K15" s="12" t="str">
        <x:f>IF(COUNT(D15)=0,"",D15/25.4)</x:f>
      </x:c>
      <x:c r="L15" s="16"/>
      <x:c r="M15" s="16"/>
      <x:c r="N15" s="16"/>
      <x:c r="O15" s="16"/>
      <x:c r="P15" s="16"/>
    </x:row>
    <x:row r="16" ht="34" customHeight="1">
      <x:c r="A16" s="11" t="str">
        <x:v>V12</x:v>
      </x:c>
      <x:c r="B16" s="11" t="str">
        <x:v>Right fixed mount longitudinal spacing</x:v>
      </x:c>
      <x:c r="C16" s="17"/>
      <x:c r="D16" s="17"/>
      <x:c r="E16" s="19" t="str">
        <x:f>IF(COUNT(C16:D16)&lt;2,"",D16-C16)</x:f>
      </x:c>
      <x:c r="F16" s="21" t="str">
        <x:f>IF(OR(COUNT(C16:D16)&lt;2,C16=0),"",E16/C16)</x:f>
      </x:c>
      <x:c r="G16" s="19" t="n">
        <x:v>5</x:v>
      </x:c>
      <x:c r="H16" s="17"/>
      <x:c r="I16" s="11" t="str">
        <x:f>IF(COUNT(C16:D16)&lt;2,"NOT MEASURED",IF(OR(L16="",M16="",N16="",O16="",P16=""),"NEEDS PROVENANCE",IF(N16="D","UNVERIFIED SOURCE",IF(COUNT(H16)=0,"NEEDS UNCERTAINTY",IF(H16&lt;0,"INVALID UNCERTAINTY",IF(ABS(E16)+H16&lt;=G16,"WITHIN TOLERANCE","REVIEW REQUIRED"))))))</x:f>
        <x:v>NOT MEASURED</x:v>
      </x:c>
      <x:c r="J16" s="13" t="str">
        <x:f>IF(COUNT(C16)=0,"",C16/25.4)</x:f>
      </x:c>
      <x:c r="K16" s="13" t="str">
        <x:f>IF(COUNT(D16)=0,"",D16/25.4)</x:f>
      </x:c>
      <x:c r="L16" s="16"/>
      <x:c r="M16" s="16"/>
      <x:c r="N16" s="16"/>
      <x:c r="O16" s="16"/>
      <x:c r="P16" s="16"/>
    </x:row>
    <x:row r="17" ht="34" customHeight="1">
      <x:c r="A17" s="10" t="str">
        <x:v>V13</x:v>
      </x:c>
      <x:c r="B17" s="10" t="str">
        <x:v>Left front seatback to row 3 front gap</x:v>
      </x:c>
      <x:c r="C17" s="17"/>
      <x:c r="D17" s="17"/>
      <x:c r="E17" s="18" t="str">
        <x:f>IF(COUNT(C17:D17)&lt;2,"",D17-C17)</x:f>
      </x:c>
      <x:c r="F17" s="20" t="str">
        <x:f>IF(OR(COUNT(C17:D17)&lt;2,C17=0),"",E17/C17)</x:f>
      </x:c>
      <x:c r="G17" s="18" t="n">
        <x:v>5</x:v>
      </x:c>
      <x:c r="H17" s="17"/>
      <x:c r="I17" s="10" t="str">
        <x:f>IF(COUNT(C17:D17)&lt;2,"NOT MEASURED",IF(OR(L17="",M17="",N17="",O17="",P17=""),"NEEDS PROVENANCE",IF(N17="D","UNVERIFIED SOURCE",IF(COUNT(H17)=0,"NEEDS UNCERTAINTY",IF(H17&lt;0,"INVALID UNCERTAINTY",IF(ABS(E17)+H17&lt;=G17,"WITHIN TOLERANCE","REVIEW REQUIRED"))))))</x:f>
        <x:v>NOT MEASURED</x:v>
      </x:c>
      <x:c r="J17" s="12" t="str">
        <x:f>IF(COUNT(C17)=0,"",C17/25.4)</x:f>
      </x:c>
      <x:c r="K17" s="12" t="str">
        <x:f>IF(COUNT(D17)=0,"",D17/25.4)</x:f>
      </x:c>
      <x:c r="L17" s="16"/>
      <x:c r="M17" s="16"/>
      <x:c r="N17" s="16"/>
      <x:c r="O17" s="16"/>
      <x:c r="P17" s="16"/>
    </x:row>
    <x:row r="18" ht="34" customHeight="1">
      <x:c r="A18" s="11" t="str">
        <x:v>V14</x:v>
      </x:c>
      <x:c r="B18" s="11" t="str">
        <x:v>Right front seatback to row 3 front gap</x:v>
      </x:c>
      <x:c r="C18" s="17"/>
      <x:c r="D18" s="17"/>
      <x:c r="E18" s="19" t="str">
        <x:f>IF(COUNT(C18:D18)&lt;2,"",D18-C18)</x:f>
      </x:c>
      <x:c r="F18" s="21" t="str">
        <x:f>IF(OR(COUNT(C18:D18)&lt;2,C18=0),"",E18/C18)</x:f>
      </x:c>
      <x:c r="G18" s="19" t="n">
        <x:v>5</x:v>
      </x:c>
      <x:c r="H18" s="17"/>
      <x:c r="I18" s="11" t="str">
        <x:f>IF(COUNT(C18:D18)&lt;2,"NOT MEASURED",IF(OR(L18="",M18="",N18="",O18="",P18=""),"NEEDS PROVENANCE",IF(N18="D","UNVERIFIED SOURCE",IF(COUNT(H18)=0,"NEEDS UNCERTAINTY",IF(H18&lt;0,"INVALID UNCERTAINTY",IF(ABS(E18)+H18&lt;=G18,"WITHIN TOLERANCE","REVIEW REQUIRED"))))))</x:f>
        <x:v>NOT MEASURED</x:v>
      </x:c>
      <x:c r="J18" s="13" t="str">
        <x:f>IF(COUNT(C18)=0,"",C18/25.4)</x:f>
      </x:c>
      <x:c r="K18" s="13" t="str">
        <x:f>IF(COUNT(D18)=0,"",D18/25.4)</x:f>
      </x:c>
      <x:c r="L18" s="16"/>
      <x:c r="M18" s="16"/>
      <x:c r="N18" s="16"/>
      <x:c r="O18" s="16"/>
      <x:c r="P18" s="16"/>
    </x:row>
    <x:row r="19" ht="34" customHeight="1">
      <x:c r="A19" s="10" t="str">
        <x:v>V15</x:v>
      </x:c>
      <x:c r="B19" s="10" t="str">
        <x:v>Left rear-door width, sill +300 mm</x:v>
      </x:c>
      <x:c r="C19" s="17"/>
      <x:c r="D19" s="17"/>
      <x:c r="E19" s="18" t="str">
        <x:f>IF(COUNT(C19:D19)&lt;2,"",D19-C19)</x:f>
      </x:c>
      <x:c r="F19" s="20" t="str">
        <x:f>IF(OR(COUNT(C19:D19)&lt;2,C19=0),"",E19/C19)</x:f>
      </x:c>
      <x:c r="G19" s="18" t="n">
        <x:v>5</x:v>
      </x:c>
      <x:c r="H19" s="17"/>
      <x:c r="I19" s="10" t="str">
        <x:f>IF(COUNT(C19:D19)&lt;2,"NOT MEASURED",IF(OR(L19="",M19="",N19="",O19="",P19=""),"NEEDS PROVENANCE",IF(N19="D","UNVERIFIED SOURCE",IF(COUNT(H19)=0,"NEEDS UNCERTAINTY",IF(H19&lt;0,"INVALID UNCERTAINTY",IF(ABS(E19)+H19&lt;=G19,"WITHIN TOLERANCE","REVIEW REQUIRED"))))))</x:f>
        <x:v>NOT MEASURED</x:v>
      </x:c>
      <x:c r="J19" s="12" t="str">
        <x:f>IF(COUNT(C19)=0,"",C19/25.4)</x:f>
      </x:c>
      <x:c r="K19" s="12" t="str">
        <x:f>IF(COUNT(D19)=0,"",D19/25.4)</x:f>
      </x:c>
      <x:c r="L19" s="16"/>
      <x:c r="M19" s="16"/>
      <x:c r="N19" s="16"/>
      <x:c r="O19" s="16"/>
      <x:c r="P19" s="16"/>
    </x:row>
    <x:row r="20" ht="34" customHeight="1">
      <x:c r="A20" s="11" t="str">
        <x:v>V16</x:v>
      </x:c>
      <x:c r="B20" s="11" t="str">
        <x:v>Right rear-door width, sill +300 mm</x:v>
      </x:c>
      <x:c r="C20" s="17"/>
      <x:c r="D20" s="17"/>
      <x:c r="E20" s="19" t="str">
        <x:f>IF(COUNT(C20:D20)&lt;2,"",D20-C20)</x:f>
      </x:c>
      <x:c r="F20" s="21" t="str">
        <x:f>IF(OR(COUNT(C20:D20)&lt;2,C20=0),"",E20/C20)</x:f>
      </x:c>
      <x:c r="G20" s="19" t="n">
        <x:v>5</x:v>
      </x:c>
      <x:c r="H20" s="17"/>
      <x:c r="I20" s="11" t="str">
        <x:f>IF(COUNT(C20:D20)&lt;2,"NOT MEASURED",IF(OR(L20="",M20="",N20="",O20="",P20=""),"NEEDS PROVENANCE",IF(N20="D","UNVERIFIED SOURCE",IF(COUNT(H20)=0,"NEEDS UNCERTAINTY",IF(H20&lt;0,"INVALID UNCERTAINTY",IF(ABS(E20)+H20&lt;=G20,"WITHIN TOLERANCE","REVIEW REQUIRED"))))))</x:f>
        <x:v>NOT MEASURED</x:v>
      </x:c>
      <x:c r="J20" s="13" t="str">
        <x:f>IF(COUNT(C20)=0,"",C20/25.4)</x:f>
      </x:c>
      <x:c r="K20" s="13" t="str">
        <x:f>IF(COUNT(D20)=0,"",D20/25.4)</x:f>
      </x:c>
      <x:c r="L20" s="16"/>
      <x:c r="M20" s="16"/>
      <x:c r="N20" s="16"/>
      <x:c r="O20" s="16"/>
      <x:c r="P20" s="16"/>
    </x:row>
    <x:row r="21" ht="34" customHeight="1">
      <x:c r="A21" s="10" t="str">
        <x:v>V17</x:v>
      </x:c>
      <x:c r="B21" s="10" t="str">
        <x:v>Left rear-door clear height at defined station</x:v>
      </x:c>
      <x:c r="C21" s="17"/>
      <x:c r="D21" s="17"/>
      <x:c r="E21" s="18" t="str">
        <x:f>IF(COUNT(C21:D21)&lt;2,"",D21-C21)</x:f>
      </x:c>
      <x:c r="F21" s="20" t="str">
        <x:f>IF(OR(COUNT(C21:D21)&lt;2,C21=0),"",E21/C21)</x:f>
      </x:c>
      <x:c r="G21" s="18" t="n">
        <x:v>5</x:v>
      </x:c>
      <x:c r="H21" s="17"/>
      <x:c r="I21" s="10" t="str">
        <x:f>IF(COUNT(C21:D21)&lt;2,"NOT MEASURED",IF(OR(L21="",M21="",N21="",O21="",P21=""),"NEEDS PROVENANCE",IF(N21="D","UNVERIFIED SOURCE",IF(COUNT(H21)=0,"NEEDS UNCERTAINTY",IF(H21&lt;0,"INVALID UNCERTAINTY",IF(ABS(E21)+H21&lt;=G21,"WITHIN TOLERANCE","REVIEW REQUIRED"))))))</x:f>
        <x:v>NOT MEASURED</x:v>
      </x:c>
      <x:c r="J21" s="12" t="str">
        <x:f>IF(COUNT(C21)=0,"",C21/25.4)</x:f>
      </x:c>
      <x:c r="K21" s="12" t="str">
        <x:f>IF(COUNT(D21)=0,"",D21/25.4)</x:f>
      </x:c>
      <x:c r="L21" s="16"/>
      <x:c r="M21" s="16"/>
      <x:c r="N21" s="16"/>
      <x:c r="O21" s="16"/>
      <x:c r="P21" s="16"/>
    </x:row>
    <x:row r="22" ht="40" customHeight="1">
      <x:c r="A22" s="11" t="str">
        <x:v>V18</x:v>
      </x:c>
      <x:c r="B22" s="11" t="str">
        <x:v>Right rear-door clear height at defined station</x:v>
      </x:c>
      <x:c r="C22" s="17"/>
      <x:c r="D22" s="17"/>
      <x:c r="E22" s="19" t="str">
        <x:f>IF(COUNT(C22:D22)&lt;2,"",D22-C22)</x:f>
      </x:c>
      <x:c r="F22" s="21" t="str">
        <x:f>IF(OR(COUNT(C22:D22)&lt;2,C22=0),"",E22/C22)</x:f>
      </x:c>
      <x:c r="G22" s="19" t="n">
        <x:v>5</x:v>
      </x:c>
      <x:c r="H22" s="17"/>
      <x:c r="I22" s="11" t="str">
        <x:f>IF(COUNT(C22:D22)&lt;2,"NOT MEASURED",IF(OR(L22="",M22="",N22="",O22="",P22=""),"NEEDS PROVENANCE",IF(N22="D","UNVERIFIED SOURCE",IF(COUNT(H22)=0,"NEEDS UNCERTAINTY",IF(H22&lt;0,"INVALID UNCERTAINTY",IF(ABS(E22)+H22&lt;=G22,"WITHIN TOLERANCE","REVIEW REQUIRED"))))))</x:f>
        <x:v>NOT MEASURED</x:v>
      </x:c>
      <x:c r="J22" s="13" t="str">
        <x:f>IF(COUNT(C22)=0,"",C22/25.4)</x:f>
      </x:c>
      <x:c r="K22" s="13" t="str">
        <x:f>IF(COUNT(D22)=0,"",D22/25.4)</x:f>
      </x:c>
      <x:c r="L22" s="16"/>
      <x:c r="M22" s="16"/>
      <x:c r="N22" s="16"/>
      <x:c r="O22" s="16"/>
      <x:c r="P22" s="16"/>
    </x:row>
    <x:row r="23" ht="34" customHeight="1">
      <x:c r="A23" s="10" t="str">
        <x:v>V19</x:v>
      </x:c>
      <x:c r="B23" s="10" t="str">
        <x:v>Left C-pillar inner Y at marked point</x:v>
      </x:c>
      <x:c r="C23" s="17"/>
      <x:c r="D23" s="17"/>
      <x:c r="E23" s="18" t="str">
        <x:f>IF(COUNT(C23:D23)&lt;2,"",D23-C23)</x:f>
      </x:c>
      <x:c r="F23" s="20" t="str">
        <x:f>IF(OR(COUNT(C23:D23)&lt;2,C23=0),"",E23/C23)</x:f>
      </x:c>
      <x:c r="G23" s="18" t="n">
        <x:v>5</x:v>
      </x:c>
      <x:c r="H23" s="17"/>
      <x:c r="I23" s="10" t="str">
        <x:f>IF(COUNT(C23:D23)&lt;2,"NOT MEASURED",IF(OR(L23="",M23="",N23="",O23="",P23=""),"NEEDS PROVENANCE",IF(N23="D","UNVERIFIED SOURCE",IF(COUNT(H23)=0,"NEEDS UNCERTAINTY",IF(H23&lt;0,"INVALID UNCERTAINTY",IF(ABS(E23)+H23&lt;=G23,"WITHIN TOLERANCE","REVIEW REQUIRED"))))))</x:f>
        <x:v>NOT MEASURED</x:v>
      </x:c>
      <x:c r="J23" s="12" t="str">
        <x:f>IF(COUNT(C23)=0,"",C23/25.4)</x:f>
      </x:c>
      <x:c r="K23" s="12" t="str">
        <x:f>IF(COUNT(D23)=0,"",D23/25.4)</x:f>
      </x:c>
      <x:c r="L23" s="16"/>
      <x:c r="M23" s="16"/>
      <x:c r="N23" s="16"/>
      <x:c r="O23" s="16"/>
      <x:c r="P23" s="16"/>
    </x:row>
    <x:row r="24" ht="34" customHeight="1">
      <x:c r="A24" s="11" t="str">
        <x:v>V20</x:v>
      </x:c>
      <x:c r="B24" s="11" t="str">
        <x:v>Right C-pillar inner Y at marked point</x:v>
      </x:c>
      <x:c r="C24" s="17"/>
      <x:c r="D24" s="17"/>
      <x:c r="E24" s="19" t="str">
        <x:f>IF(COUNT(C24:D24)&lt;2,"",D24-C24)</x:f>
      </x:c>
      <x:c r="F24" s="21" t="str">
        <x:f>IF(OR(COUNT(C24:D24)&lt;2,C24=0),"",E24/C24)</x:f>
      </x:c>
      <x:c r="G24" s="19" t="n">
        <x:v>5</x:v>
      </x:c>
      <x:c r="H24" s="17"/>
      <x:c r="I24" s="11" t="str">
        <x:f>IF(COUNT(C24:D24)&lt;2,"NOT MEASURED",IF(OR(L24="",M24="",N24="",O24="",P24=""),"NEEDS PROVENANCE",IF(N24="D","UNVERIFIED SOURCE",IF(COUNT(H24)=0,"NEEDS UNCERTAINTY",IF(H24&lt;0,"INVALID UNCERTAINTY",IF(ABS(E24)+H24&lt;=G24,"WITHIN TOLERANCE","REVIEW REQUIRED"))))))</x:f>
        <x:v>NOT MEASURED</x:v>
      </x:c>
      <x:c r="J24" s="13" t="str">
        <x:f>IF(COUNT(C24)=0,"",C24/25.4)</x:f>
      </x:c>
      <x:c r="K24" s="13" t="str">
        <x:f>IF(COUNT(D24)=0,"",D24/25.4)</x:f>
      </x:c>
      <x:c r="L24" s="16"/>
      <x:c r="M24" s="16"/>
      <x:c r="N24" s="16"/>
      <x:c r="O24" s="16"/>
      <x:c r="P24" s="16"/>
    </x:row>
    <x:row r="25" ht="34" customHeight="1">
      <x:c r="A25" s="10" t="str">
        <x:v>V21</x:v>
      </x:c>
      <x:c r="B25" s="10" t="str">
        <x:v>Third-row footwell depth left</x:v>
      </x:c>
      <x:c r="C25" s="17"/>
      <x:c r="D25" s="17"/>
      <x:c r="E25" s="18" t="str">
        <x:f>IF(COUNT(C25:D25)&lt;2,"",D25-C25)</x:f>
      </x:c>
      <x:c r="F25" s="20" t="str">
        <x:f>IF(OR(COUNT(C25:D25)&lt;2,C25=0),"",E25/C25)</x:f>
      </x:c>
      <x:c r="G25" s="18" t="n">
        <x:v>5</x:v>
      </x:c>
      <x:c r="H25" s="17"/>
      <x:c r="I25" s="10" t="str">
        <x:f>IF(COUNT(C25:D25)&lt;2,"NOT MEASURED",IF(OR(L25="",M25="",N25="",O25="",P25=""),"NEEDS PROVENANCE",IF(N25="D","UNVERIFIED SOURCE",IF(COUNT(H25)=0,"NEEDS UNCERTAINTY",IF(H25&lt;0,"INVALID UNCERTAINTY",IF(ABS(E25)+H25&lt;=G25,"WITHIN TOLERANCE","REVIEW REQUIRED"))))))</x:f>
        <x:v>NOT MEASURED</x:v>
      </x:c>
      <x:c r="J25" s="12" t="str">
        <x:f>IF(COUNT(C25)=0,"",C25/25.4)</x:f>
      </x:c>
      <x:c r="K25" s="12" t="str">
        <x:f>IF(COUNT(D25)=0,"",D25/25.4)</x:f>
      </x:c>
      <x:c r="L25" s="16"/>
      <x:c r="M25" s="16"/>
      <x:c r="N25" s="16"/>
      <x:c r="O25" s="16"/>
      <x:c r="P25" s="16"/>
    </x:row>
    <x:row r="26" ht="34" customHeight="1">
      <x:c r="A26" s="11" t="str">
        <x:v>V22</x:v>
      </x:c>
      <x:c r="B26" s="11" t="str">
        <x:v>Third-row footwell depth right</x:v>
      </x:c>
      <x:c r="C26" s="17"/>
      <x:c r="D26" s="17"/>
      <x:c r="E26" s="19" t="str">
        <x:f>IF(COUNT(C26:D26)&lt;2,"",D26-C26)</x:f>
      </x:c>
      <x:c r="F26" s="21" t="str">
        <x:f>IF(OR(COUNT(C26:D26)&lt;2,C26=0),"",E26/C26)</x:f>
      </x:c>
      <x:c r="G26" s="19" t="n">
        <x:v>5</x:v>
      </x:c>
      <x:c r="H26" s="17"/>
      <x:c r="I26" s="11" t="str">
        <x:f>IF(COUNT(C26:D26)&lt;2,"NOT MEASURED",IF(OR(L26="",M26="",N26="",O26="",P26=""),"NEEDS PROVENANCE",IF(N26="D","UNVERIFIED SOURCE",IF(COUNT(H26)=0,"NEEDS UNCERTAINTY",IF(H26&lt;0,"INVALID UNCERTAINTY",IF(ABS(E26)+H26&lt;=G26,"WITHIN TOLERANCE","REVIEW REQUIRED"))))))</x:f>
        <x:v>NOT MEASURED</x:v>
      </x:c>
      <x:c r="J26" s="13" t="str">
        <x:f>IF(COUNT(C26)=0,"",C26/25.4)</x:f>
      </x:c>
      <x:c r="K26" s="13" t="str">
        <x:f>IF(COUNT(D26)=0,"",D26/25.4)</x:f>
      </x:c>
      <x:c r="L26" s="16"/>
      <x:c r="M26" s="16"/>
      <x:c r="N26" s="16"/>
      <x:c r="O26" s="16"/>
      <x:c r="P26" s="16"/>
    </x:row>
    <x:row r="27" ht="34" customHeight="1">
      <x:c r="A27" s="10" t="str">
        <x:v>V23</x:v>
      </x:c>
      <x:c r="B27" s="10" t="str">
        <x:v>Third-row cushion front Z left</x:v>
      </x:c>
      <x:c r="C27" s="17"/>
      <x:c r="D27" s="17"/>
      <x:c r="E27" s="18" t="str">
        <x:f>IF(COUNT(C27:D27)&lt;2,"",D27-C27)</x:f>
      </x:c>
      <x:c r="F27" s="20" t="str">
        <x:f>IF(OR(COUNT(C27:D27)&lt;2,C27=0),"",E27/C27)</x:f>
      </x:c>
      <x:c r="G27" s="18" t="n">
        <x:v>5</x:v>
      </x:c>
      <x:c r="H27" s="17"/>
      <x:c r="I27" s="10" t="str">
        <x:f>IF(COUNT(C27:D27)&lt;2,"NOT MEASURED",IF(OR(L27="",M27="",N27="",O27="",P27=""),"NEEDS PROVENANCE",IF(N27="D","UNVERIFIED SOURCE",IF(COUNT(H27)=0,"NEEDS UNCERTAINTY",IF(H27&lt;0,"INVALID UNCERTAINTY",IF(ABS(E27)+H27&lt;=G27,"WITHIN TOLERANCE","REVIEW REQUIRED"))))))</x:f>
        <x:v>NOT MEASURED</x:v>
      </x:c>
      <x:c r="J27" s="12" t="str">
        <x:f>IF(COUNT(C27)=0,"",C27/25.4)</x:f>
      </x:c>
      <x:c r="K27" s="12" t="str">
        <x:f>IF(COUNT(D27)=0,"",D27/25.4)</x:f>
      </x:c>
      <x:c r="L27" s="16"/>
      <x:c r="M27" s="16"/>
      <x:c r="N27" s="16"/>
      <x:c r="O27" s="16"/>
      <x:c r="P27" s="16"/>
    </x:row>
    <x:row r="28" ht="34" customHeight="1">
      <x:c r="A28" s="11" t="str">
        <x:v>V24</x:v>
      </x:c>
      <x:c r="B28" s="11" t="str">
        <x:v>Third-row cushion front Z right</x:v>
      </x:c>
      <x:c r="C28" s="17"/>
      <x:c r="D28" s="17"/>
      <x:c r="E28" s="19" t="str">
        <x:f>IF(COUNT(C28:D28)&lt;2,"",D28-C28)</x:f>
      </x:c>
      <x:c r="F28" s="21" t="str">
        <x:f>IF(OR(COUNT(C28:D28)&lt;2,C28=0),"",E28/C28)</x:f>
      </x:c>
      <x:c r="G28" s="19" t="n">
        <x:v>5</x:v>
      </x:c>
      <x:c r="H28" s="17"/>
      <x:c r="I28" s="11" t="str">
        <x:f>IF(COUNT(C28:D28)&lt;2,"NOT MEASURED",IF(OR(L28="",M28="",N28="",O28="",P28=""),"NEEDS PROVENANCE",IF(N28="D","UNVERIFIED SOURCE",IF(COUNT(H28)=0,"NEEDS UNCERTAINTY",IF(H28&lt;0,"INVALID UNCERTAINTY",IF(ABS(E28)+H28&lt;=G28,"WITHIN TOLERANCE","REVIEW REQUIRED"))))))</x:f>
        <x:v>NOT MEASURED</x:v>
      </x:c>
      <x:c r="J28" s="13" t="str">
        <x:f>IF(COUNT(C28)=0,"",C28/25.4)</x:f>
      </x:c>
      <x:c r="K28" s="13" t="str">
        <x:f>IF(COUNT(D28)=0,"",D28/25.4)</x:f>
      </x:c>
      <x:c r="L28" s="16"/>
      <x:c r="M28" s="16"/>
      <x:c r="N28" s="16"/>
      <x:c r="O28" s="16"/>
      <x:c r="P28" s="16"/>
    </x:row>
    <x:row r="29" ht="34" customHeight="1">
      <x:c r="A29" s="10" t="str">
        <x:v>V25</x:v>
      </x:c>
      <x:c r="B29" s="10" t="str">
        <x:v>Third-row folded upper envelope Z left</x:v>
      </x:c>
      <x:c r="C29" s="17"/>
      <x:c r="D29" s="17"/>
      <x:c r="E29" s="18" t="str">
        <x:f>IF(COUNT(C29:D29)&lt;2,"",D29-C29)</x:f>
      </x:c>
      <x:c r="F29" s="20" t="str">
        <x:f>IF(OR(COUNT(C29:D29)&lt;2,C29=0),"",E29/C29)</x:f>
      </x:c>
      <x:c r="G29" s="18" t="n">
        <x:v>5</x:v>
      </x:c>
      <x:c r="H29" s="17"/>
      <x:c r="I29" s="10" t="str">
        <x:f>IF(COUNT(C29:D29)&lt;2,"NOT MEASURED",IF(OR(L29="",M29="",N29="",O29="",P29=""),"NEEDS PROVENANCE",IF(N29="D","UNVERIFIED SOURCE",IF(COUNT(H29)=0,"NEEDS UNCERTAINTY",IF(H29&lt;0,"INVALID UNCERTAINTY",IF(ABS(E29)+H29&lt;=G29,"WITHIN TOLERANCE","REVIEW REQUIRED"))))))</x:f>
        <x:v>NOT MEASURED</x:v>
      </x:c>
      <x:c r="J29" s="12" t="str">
        <x:f>IF(COUNT(C29)=0,"",C29/25.4)</x:f>
      </x:c>
      <x:c r="K29" s="12" t="str">
        <x:f>IF(COUNT(D29)=0,"",D29/25.4)</x:f>
      </x:c>
      <x:c r="L29" s="16"/>
      <x:c r="M29" s="16"/>
      <x:c r="N29" s="16"/>
      <x:c r="O29" s="16"/>
      <x:c r="P29" s="16"/>
    </x:row>
    <x:row r="30" ht="34" customHeight="1">
      <x:c r="A30" s="11" t="str">
        <x:v>V26</x:v>
      </x:c>
      <x:c r="B30" s="11" t="str">
        <x:v>Third-row folded upper envelope Z right</x:v>
      </x:c>
      <x:c r="C30" s="17"/>
      <x:c r="D30" s="17"/>
      <x:c r="E30" s="19" t="str">
        <x:f>IF(COUNT(C30:D30)&lt;2,"",D30-C30)</x:f>
      </x:c>
      <x:c r="F30" s="21" t="str">
        <x:f>IF(OR(COUNT(C30:D30)&lt;2,C30=0),"",E30/C30)</x:f>
      </x:c>
      <x:c r="G30" s="19" t="n">
        <x:v>5</x:v>
      </x:c>
      <x:c r="H30" s="17"/>
      <x:c r="I30" s="11" t="str">
        <x:f>IF(COUNT(C30:D30)&lt;2,"NOT MEASURED",IF(OR(L30="",M30="",N30="",O30="",P30=""),"NEEDS PROVENANCE",IF(N30="D","UNVERIFIED SOURCE",IF(COUNT(H30)=0,"NEEDS UNCERTAINTY",IF(H30&lt;0,"INVALID UNCERTAINTY",IF(ABS(E30)+H30&lt;=G30,"WITHIN TOLERANCE","REVIEW REQUIRED"))))))</x:f>
        <x:v>NOT MEASURED</x:v>
      </x:c>
      <x:c r="J30" s="13" t="str">
        <x:f>IF(COUNT(C30)=0,"",C30/25.4)</x:f>
      </x:c>
      <x:c r="K30" s="13" t="str">
        <x:f>IF(COUNT(D30)=0,"",D30/25.4)</x:f>
      </x:c>
      <x:c r="L30" s="16"/>
      <x:c r="M30" s="16"/>
      <x:c r="N30" s="16"/>
      <x:c r="O30" s="16"/>
      <x:c r="P30" s="16"/>
    </x:row>
    <x:row r="31" ht="34" customHeight="1">
      <x:c r="A31" s="10" t="str">
        <x:v>V27</x:v>
      </x:c>
      <x:c r="B31" s="10" t="str">
        <x:v>Row 2 ceiling Z at centerline</x:v>
      </x:c>
      <x:c r="C31" s="17"/>
      <x:c r="D31" s="17"/>
      <x:c r="E31" s="18" t="str">
        <x:f>IF(COUNT(C31:D31)&lt;2,"",D31-C31)</x:f>
      </x:c>
      <x:c r="F31" s="20" t="str">
        <x:f>IF(OR(COUNT(C31:D31)&lt;2,C31=0),"",E31/C31)</x:f>
      </x:c>
      <x:c r="G31" s="18" t="n">
        <x:v>10</x:v>
      </x:c>
      <x:c r="H31" s="17"/>
      <x:c r="I31" s="10" t="str">
        <x:f>IF(COUNT(C31:D31)&lt;2,"NOT MEASURED",IF(OR(L31="",M31="",N31="",O31="",P31=""),"NEEDS PROVENANCE",IF(N31="D","UNVERIFIED SOURCE",IF(COUNT(H31)=0,"NEEDS UNCERTAINTY",IF(H31&lt;0,"INVALID UNCERTAINTY",IF(ABS(E31)+H31&lt;=G31,"WITHIN TOLERANCE","REVIEW REQUIRED"))))))</x:f>
        <x:v>NOT MEASURED</x:v>
      </x:c>
      <x:c r="J31" s="12" t="str">
        <x:f>IF(COUNT(C31)=0,"",C31/25.4)</x:f>
      </x:c>
      <x:c r="K31" s="12" t="str">
        <x:f>IF(COUNT(D31)=0,"",D31/25.4)</x:f>
      </x:c>
      <x:c r="L31" s="16"/>
      <x:c r="M31" s="16"/>
      <x:c r="N31" s="16"/>
      <x:c r="O31" s="16"/>
      <x:c r="P31" s="16"/>
    </x:row>
    <x:row r="32" ht="34" customHeight="1">
      <x:c r="A32" s="11" t="str">
        <x:v>V28</x:v>
      </x:c>
      <x:c r="B32" s="11" t="str">
        <x:v>Row 3 ceiling Z at centerline</x:v>
      </x:c>
      <x:c r="C32" s="17"/>
      <x:c r="D32" s="17"/>
      <x:c r="E32" s="19" t="str">
        <x:f>IF(COUNT(C32:D32)&lt;2,"",D32-C32)</x:f>
      </x:c>
      <x:c r="F32" s="21" t="str">
        <x:f>IF(OR(COUNT(C32:D32)&lt;2,C32=0),"",E32/C32)</x:f>
      </x:c>
      <x:c r="G32" s="19" t="n">
        <x:v>10</x:v>
      </x:c>
      <x:c r="H32" s="17"/>
      <x:c r="I32" s="11" t="str">
        <x:f>IF(COUNT(C32:D32)&lt;2,"NOT MEASURED",IF(OR(L32="",M32="",N32="",O32="",P32=""),"NEEDS PROVENANCE",IF(N32="D","UNVERIFIED SOURCE",IF(COUNT(H32)=0,"NEEDS UNCERTAINTY",IF(H32&lt;0,"INVALID UNCERTAINTY",IF(ABS(E32)+H32&lt;=G32,"WITHIN TOLERANCE","REVIEW REQUIRED"))))))</x:f>
        <x:v>NOT MEASURED</x:v>
      </x:c>
      <x:c r="J32" s="13" t="str">
        <x:f>IF(COUNT(C32)=0,"",C32/25.4)</x:f>
      </x:c>
      <x:c r="K32" s="13" t="str">
        <x:f>IF(COUNT(D32)=0,"",D32/25.4)</x:f>
      </x:c>
      <x:c r="L32" s="16"/>
      <x:c r="M32" s="16"/>
      <x:c r="N32" s="16"/>
      <x:c r="O32" s="16"/>
      <x:c r="P32" s="16"/>
    </x:row>
    <x:row r="33" ht="34" customHeight="1">
      <x:c r="A33" s="10" t="str">
        <x:v>V29</x:v>
      </x:c>
      <x:c r="B33" s="10" t="str">
        <x:v>Left wheel-house peak inner Y</x:v>
      </x:c>
      <x:c r="C33" s="17"/>
      <x:c r="D33" s="17"/>
      <x:c r="E33" s="18" t="str">
        <x:f>IF(COUNT(C33:D33)&lt;2,"",D33-C33)</x:f>
      </x:c>
      <x:c r="F33" s="20" t="str">
        <x:f>IF(OR(COUNT(C33:D33)&lt;2,C33=0),"",E33/C33)</x:f>
      </x:c>
      <x:c r="G33" s="18" t="n">
        <x:v>10</x:v>
      </x:c>
      <x:c r="H33" s="17"/>
      <x:c r="I33" s="10" t="str">
        <x:f>IF(COUNT(C33:D33)&lt;2,"NOT MEASURED",IF(OR(L33="",M33="",N33="",O33="",P33=""),"NEEDS PROVENANCE",IF(N33="D","UNVERIFIED SOURCE",IF(COUNT(H33)=0,"NEEDS UNCERTAINTY",IF(H33&lt;0,"INVALID UNCERTAINTY",IF(ABS(E33)+H33&lt;=G33,"WITHIN TOLERANCE","REVIEW REQUIRED"))))))</x:f>
        <x:v>NOT MEASURED</x:v>
      </x:c>
      <x:c r="J33" s="12" t="str">
        <x:f>IF(COUNT(C33)=0,"",C33/25.4)</x:f>
      </x:c>
      <x:c r="K33" s="12" t="str">
        <x:f>IF(COUNT(D33)=0,"",D33/25.4)</x:f>
      </x:c>
      <x:c r="L33" s="16"/>
      <x:c r="M33" s="16"/>
      <x:c r="N33" s="16"/>
      <x:c r="O33" s="16"/>
      <x:c r="P33" s="16"/>
    </x:row>
    <x:row r="34" ht="34" customHeight="1">
      <x:c r="A34" s="11" t="str">
        <x:v>V30</x:v>
      </x:c>
      <x:c r="B34" s="11" t="str">
        <x:v>Right wheel-house peak inner Y</x:v>
      </x:c>
      <x:c r="C34" s="17"/>
      <x:c r="D34" s="17"/>
      <x:c r="E34" s="19" t="str">
        <x:f>IF(COUNT(C34:D34)&lt;2,"",D34-C34)</x:f>
      </x:c>
      <x:c r="F34" s="21" t="str">
        <x:f>IF(OR(COUNT(C34:D34)&lt;2,C34=0),"",E34/C34)</x:f>
      </x:c>
      <x:c r="G34" s="19" t="n">
        <x:v>10</x:v>
      </x:c>
      <x:c r="H34" s="17"/>
      <x:c r="I34" s="11" t="str">
        <x:f>IF(COUNT(C34:D34)&lt;2,"NOT MEASURED",IF(OR(L34="",M34="",N34="",O34="",P34=""),"NEEDS PROVENANCE",IF(N34="D","UNVERIFIED SOURCE",IF(COUNT(H34)=0,"NEEDS UNCERTAINTY",IF(H34&lt;0,"INVALID UNCERTAINTY",IF(ABS(E34)+H34&lt;=G34,"WITHIN TOLERANCE","REVIEW REQUIRED"))))))</x:f>
        <x:v>NOT MEASURED</x:v>
      </x:c>
      <x:c r="J34" s="13" t="str">
        <x:f>IF(COUNT(C34)=0,"",C34/25.4)</x:f>
      </x:c>
      <x:c r="K34" s="13" t="str">
        <x:f>IF(COUNT(D34)=0,"",D34/25.4)</x:f>
      </x:c>
      <x:c r="L34" s="16"/>
      <x:c r="M34" s="16"/>
      <x:c r="N34" s="16"/>
      <x:c r="O34" s="16"/>
      <x:c r="P34" s="16"/>
    </x:row>
    <x:row r="35" ht="34" customHeight="1">
      <x:c r="A35" s="10" t="str">
        <x:v>V31</x:v>
      </x:c>
      <x:c r="B35" s="10" t="str">
        <x:v>Narrow rear-trim width at shared X/Z</x:v>
      </x:c>
      <x:c r="C35" s="17"/>
      <x:c r="D35" s="17"/>
      <x:c r="E35" s="18" t="str">
        <x:f>IF(COUNT(C35:D35)&lt;2,"",D35-C35)</x:f>
      </x:c>
      <x:c r="F35" s="20" t="str">
        <x:f>IF(OR(COUNT(C35:D35)&lt;2,C35=0),"",E35/C35)</x:f>
      </x:c>
      <x:c r="G35" s="18" t="n">
        <x:v>10</x:v>
      </x:c>
      <x:c r="H35" s="17"/>
      <x:c r="I35" s="10" t="str">
        <x:f>IF(COUNT(C35:D35)&lt;2,"NOT MEASURED",IF(OR(L35="",M35="",N35="",O35="",P35=""),"NEEDS PROVENANCE",IF(N35="D","UNVERIFIED SOURCE",IF(COUNT(H35)=0,"NEEDS UNCERTAINTY",IF(H35&lt;0,"INVALID UNCERTAINTY",IF(ABS(E35)+H35&lt;=G35,"WITHIN TOLERANCE","REVIEW REQUIRED"))))))</x:f>
        <x:v>NOT MEASURED</x:v>
      </x:c>
      <x:c r="J35" s="12" t="str">
        <x:f>IF(COUNT(C35)=0,"",C35/25.4)</x:f>
      </x:c>
      <x:c r="K35" s="12" t="str">
        <x:f>IF(COUNT(D35)=0,"",D35/25.4)</x:f>
      </x:c>
      <x:c r="L35" s="16"/>
      <x:c r="M35" s="16"/>
      <x:c r="N35" s="16"/>
      <x:c r="O35" s="16"/>
      <x:c r="P35" s="16"/>
    </x:row>
    <x:row r="36" ht="34" customHeight="1">
      <x:c r="A36" s="11" t="str">
        <x:v>V32</x:v>
      </x:c>
      <x:c r="B36" s="11" t="str">
        <x:v>Cargo depth, row 3 up, hatch closed</x:v>
      </x:c>
      <x:c r="C36" s="17"/>
      <x:c r="D36" s="17"/>
      <x:c r="E36" s="19" t="str">
        <x:f>IF(COUNT(C36:D36)&lt;2,"",D36-C36)</x:f>
      </x:c>
      <x:c r="F36" s="21" t="str">
        <x:f>IF(OR(COUNT(C36:D36)&lt;2,C36=0),"",E36/C36)</x:f>
      </x:c>
      <x:c r="G36" s="19" t="n">
        <x:v>10</x:v>
      </x:c>
      <x:c r="H36" s="17"/>
      <x:c r="I36" s="11" t="str">
        <x:f>IF(COUNT(C36:D36)&lt;2,"NOT MEASURED",IF(OR(L36="",M36="",N36="",O36="",P36=""),"NEEDS PROVENANCE",IF(N36="D","UNVERIFIED SOURCE",IF(COUNT(H36)=0,"NEEDS UNCERTAINTY",IF(H36&lt;0,"INVALID UNCERTAINTY",IF(ABS(E36)+H36&lt;=G36,"WITHIN TOLERANCE","REVIEW REQUIRED"))))))</x:f>
        <x:v>NOT MEASURED</x:v>
      </x:c>
      <x:c r="J36" s="13" t="str">
        <x:f>IF(COUNT(C36)=0,"",C36/25.4)</x:f>
      </x:c>
      <x:c r="K36" s="13" t="str">
        <x:f>IF(COUNT(D36)=0,"",D36/25.4)</x:f>
      </x:c>
      <x:c r="L36" s="16"/>
      <x:c r="M36" s="16"/>
      <x:c r="N36" s="16"/>
      <x:c r="O36" s="16"/>
      <x:c r="P36" s="16"/>
    </x:row>
    <x:row r="37" ht="34" customHeight="1">
      <x:c r="A37" s="10" t="str">
        <x:v>V33</x:v>
      </x:c>
      <x:c r="B37" s="10" t="str">
        <x:v>Cargo depth, row 3 folded, row 2 fixed</x:v>
      </x:c>
      <x:c r="C37" s="17"/>
      <x:c r="D37" s="17"/>
      <x:c r="E37" s="18" t="str">
        <x:f>IF(COUNT(C37:D37)&lt;2,"",D37-C37)</x:f>
      </x:c>
      <x:c r="F37" s="20" t="str">
        <x:f>IF(OR(COUNT(C37:D37)&lt;2,C37=0),"",E37/C37)</x:f>
      </x:c>
      <x:c r="G37" s="18" t="n">
        <x:v>10</x:v>
      </x:c>
      <x:c r="H37" s="17"/>
      <x:c r="I37" s="10" t="str">
        <x:f>IF(COUNT(C37:D37)&lt;2,"NOT MEASURED",IF(OR(L37="",M37="",N37="",O37="",P37=""),"NEEDS PROVENANCE",IF(N37="D","UNVERIFIED SOURCE",IF(COUNT(H37)=0,"NEEDS UNCERTAINTY",IF(H37&lt;0,"INVALID UNCERTAINTY",IF(ABS(E37)+H37&lt;=G37,"WITHIN TOLERANCE","REVIEW REQUIRED"))))))</x:f>
        <x:v>NOT MEASURED</x:v>
      </x:c>
      <x:c r="J37" s="12" t="str">
        <x:f>IF(COUNT(C37)=0,"",C37/25.4)</x:f>
      </x:c>
      <x:c r="K37" s="12" t="str">
        <x:f>IF(COUNT(D37)=0,"",D37/25.4)</x:f>
      </x:c>
      <x:c r="L37" s="16"/>
      <x:c r="M37" s="16"/>
      <x:c r="N37" s="16"/>
      <x:c r="O37" s="16"/>
      <x:c r="P37" s="16"/>
    </x:row>
    <x:row r="38" ht="34" customHeight="1">
      <x:c r="A38" s="11" t="str">
        <x:v>V34</x:v>
      </x:c>
      <x:c r="B38" s="11" t="str">
        <x:v>Hatch clear width at marked height</x:v>
      </x:c>
      <x:c r="C38" s="17"/>
      <x:c r="D38" s="17"/>
      <x:c r="E38" s="19" t="str">
        <x:f>IF(COUNT(C38:D38)&lt;2,"",D38-C38)</x:f>
      </x:c>
      <x:c r="F38" s="21" t="str">
        <x:f>IF(OR(COUNT(C38:D38)&lt;2,C38=0),"",E38/C38)</x:f>
      </x:c>
      <x:c r="G38" s="19" t="n">
        <x:v>10</x:v>
      </x:c>
      <x:c r="H38" s="17"/>
      <x:c r="I38" s="11" t="str">
        <x:f>IF(COUNT(C38:D38)&lt;2,"NOT MEASURED",IF(OR(L38="",M38="",N38="",O38="",P38=""),"NEEDS PROVENANCE",IF(N38="D","UNVERIFIED SOURCE",IF(COUNT(H38)=0,"NEEDS UNCERTAINTY",IF(H38&lt;0,"INVALID UNCERTAINTY",IF(ABS(E38)+H38&lt;=G38,"WITHIN TOLERANCE","REVIEW REQUIRED"))))))</x:f>
        <x:v>NOT MEASURED</x:v>
      </x:c>
      <x:c r="J38" s="13" t="str">
        <x:f>IF(COUNT(C38)=0,"",C38/25.4)</x:f>
      </x:c>
      <x:c r="K38" s="13" t="str">
        <x:f>IF(COUNT(D38)=0,"",D38/25.4)</x:f>
      </x:c>
      <x:c r="L38" s="16"/>
      <x:c r="M38" s="16"/>
      <x:c r="N38" s="16"/>
      <x:c r="O38" s="16"/>
      <x:c r="P38" s="16"/>
    </x:row>
    <x:row r="39" ht="34" customHeight="1">
      <x:c r="A39" s="10" t="str">
        <x:v>V35</x:v>
      </x:c>
      <x:c r="B39" s="10" t="str">
        <x:v>Hatch clear height at centerline</x:v>
      </x:c>
      <x:c r="C39" s="17"/>
      <x:c r="D39" s="17"/>
      <x:c r="E39" s="18" t="str">
        <x:f>IF(COUNT(C39:D39)&lt;2,"",D39-C39)</x:f>
      </x:c>
      <x:c r="F39" s="20" t="str">
        <x:f>IF(OR(COUNT(C39:D39)&lt;2,C39=0),"",E39/C39)</x:f>
      </x:c>
      <x:c r="G39" s="18" t="n">
        <x:v>10</x:v>
      </x:c>
      <x:c r="H39" s="17"/>
      <x:c r="I39" s="10" t="str">
        <x:f>IF(COUNT(C39:D39)&lt;2,"NOT MEASURED",IF(OR(L39="",M39="",N39="",O39="",P39=""),"NEEDS PROVENANCE",IF(N39="D","UNVERIFIED SOURCE",IF(COUNT(H39)=0,"NEEDS UNCERTAINTY",IF(H39&lt;0,"INVALID UNCERTAINTY",IF(ABS(E39)+H39&lt;=G39,"WITHIN TOLERANCE","REVIEW REQUIRED"))))))</x:f>
        <x:v>NOT MEASURED</x:v>
      </x:c>
      <x:c r="J39" s="12" t="str">
        <x:f>IF(COUNT(C39)=0,"",C39/25.4)</x:f>
      </x:c>
      <x:c r="K39" s="12" t="str">
        <x:f>IF(COUNT(D39)=0,"",D39/25.4)</x:f>
      </x:c>
      <x:c r="L39" s="16"/>
      <x:c r="M39" s="16"/>
      <x:c r="N39" s="16"/>
      <x:c r="O39" s="16"/>
      <x:c r="P39" s="16"/>
    </x:row>
    <x:row r="40" ht="34" customHeight="1">
      <x:c r="A40" s="11" t="str">
        <x:v>V36</x:v>
      </x:c>
      <x:c r="B40" s="11" t="str">
        <x:v>Left sill step Z relative to datum</x:v>
      </x:c>
      <x:c r="C40" s="17"/>
      <x:c r="D40" s="17"/>
      <x:c r="E40" s="19" t="str">
        <x:f>IF(COUNT(C40:D40)&lt;2,"",D40-C40)</x:f>
      </x:c>
      <x:c r="F40" s="21" t="str">
        <x:f>IF(OR(COUNT(C40:D40)&lt;2,C40=0),"",E40/C40)</x:f>
      </x:c>
      <x:c r="G40" s="19" t="n">
        <x:v>5</x:v>
      </x:c>
      <x:c r="H40" s="17"/>
      <x:c r="I40" s="11" t="str">
        <x:f>IF(COUNT(C40:D40)&lt;2,"NOT MEASURED",IF(OR(L40="",M40="",N40="",O40="",P40=""),"NEEDS PROVENANCE",IF(N40="D","UNVERIFIED SOURCE",IF(COUNT(H40)=0,"NEEDS UNCERTAINTY",IF(H40&lt;0,"INVALID UNCERTAINTY",IF(ABS(E40)+H40&lt;=G40,"WITHIN TOLERANCE","REVIEW REQUIRED"))))))</x:f>
        <x:v>NOT MEASURED</x:v>
      </x:c>
      <x:c r="J40" s="13" t="str">
        <x:f>IF(COUNT(C40)=0,"",C40/25.4)</x:f>
      </x:c>
      <x:c r="K40" s="13" t="str">
        <x:f>IF(COUNT(D40)=0,"",D40/25.4)</x:f>
      </x:c>
      <x:c r="L40" s="16"/>
      <x:c r="M40" s="16"/>
      <x:c r="N40" s="16"/>
      <x:c r="O40" s="16"/>
      <x:c r="P40" s="16"/>
    </x:row>
    <x:row r="41" ht="34" customHeight="1">
      <x:c r="A41" s="10" t="str">
        <x:v>V37</x:v>
      </x:c>
      <x:c r="B41" s="10" t="str">
        <x:v>Right sill step Z relative to datum</x:v>
      </x:c>
      <x:c r="C41" s="17"/>
      <x:c r="D41" s="17"/>
      <x:c r="E41" s="18" t="str">
        <x:f>IF(COUNT(C41:D41)&lt;2,"",D41-C41)</x:f>
      </x:c>
      <x:c r="F41" s="20" t="str">
        <x:f>IF(OR(COUNT(C41:D41)&lt;2,C41=0),"",E41/C41)</x:f>
      </x:c>
      <x:c r="G41" s="18" t="n">
        <x:v>5</x:v>
      </x:c>
      <x:c r="H41" s="17"/>
      <x:c r="I41" s="10" t="str">
        <x:f>IF(COUNT(C41:D41)&lt;2,"NOT MEASURED",IF(OR(L41="",M41="",N41="",O41="",P41=""),"NEEDS PROVENANCE",IF(N41="D","UNVERIFIED SOURCE",IF(COUNT(H41)=0,"NEEDS UNCERTAINTY",IF(H41&lt;0,"INVALID UNCERTAINTY",IF(ABS(E41)+H41&lt;=G41,"WITHIN TOLERANCE","REVIEW REQUIRED"))))))</x:f>
        <x:v>NOT MEASURED</x:v>
      </x:c>
      <x:c r="J41" s="12" t="str">
        <x:f>IF(COUNT(C41)=0,"",C41/25.4)</x:f>
      </x:c>
      <x:c r="K41" s="12" t="str">
        <x:f>IF(COUNT(D41)=0,"",D41/25.4)</x:f>
      </x:c>
      <x:c r="L41" s="16"/>
      <x:c r="M41" s="16"/>
      <x:c r="N41" s="16"/>
      <x:c r="O41" s="16"/>
      <x:c r="P41" s="16"/>
    </x:row>
    <x:row r="42" ht="34" customHeight="1">
      <x:c r="A42" s="11" t="str">
        <x:v>V38</x:v>
      </x:c>
      <x:c r="B42" s="11" t="str">
        <x:v>Forward-left to rear-right holdout diagonal</x:v>
      </x:c>
      <x:c r="C42" s="17"/>
      <x:c r="D42" s="17"/>
      <x:c r="E42" s="19" t="str">
        <x:f>IF(COUNT(C42:D42)&lt;2,"",D42-C42)</x:f>
      </x:c>
      <x:c r="F42" s="21" t="str">
        <x:f>IF(OR(COUNT(C42:D42)&lt;2,C42=0),"",E42/C42)</x:f>
      </x:c>
      <x:c r="G42" s="19" t="n">
        <x:v>5</x:v>
      </x:c>
      <x:c r="H42" s="17"/>
      <x:c r="I42" s="11" t="str">
        <x:f>IF(COUNT(C42:D42)&lt;2,"NOT MEASURED",IF(OR(L42="",M42="",N42="",O42="",P42=""),"NEEDS PROVENANCE",IF(N42="D","UNVERIFIED SOURCE",IF(COUNT(H42)=0,"NEEDS UNCERTAINTY",IF(H42&lt;0,"INVALID UNCERTAINTY",IF(ABS(E42)+H42&lt;=G42,"WITHIN TOLERANCE","REVIEW REQUIRED"))))))</x:f>
        <x:v>NOT MEASURED</x:v>
      </x:c>
      <x:c r="J42" s="13" t="str">
        <x:f>IF(COUNT(C42)=0,"",C42/25.4)</x:f>
      </x:c>
      <x:c r="K42" s="13" t="str">
        <x:f>IF(COUNT(D42)=0,"",D42/25.4)</x:f>
      </x:c>
      <x:c r="L42" s="16"/>
      <x:c r="M42" s="16"/>
      <x:c r="N42" s="16"/>
      <x:c r="O42" s="16"/>
      <x:c r="P42" s="16"/>
    </x:row>
    <x:row r="43" ht="34" customHeight="1">
      <x:c r="A43" s="10" t="str">
        <x:v>V39</x:v>
      </x:c>
      <x:c r="B43" s="10" t="str">
        <x:v>Forward-right to rear-left holdout diagonal</x:v>
      </x:c>
      <x:c r="C43" s="17"/>
      <x:c r="D43" s="17"/>
      <x:c r="E43" s="18" t="str">
        <x:f>IF(COUNT(C43:D43)&lt;2,"",D43-C43)</x:f>
      </x:c>
      <x:c r="F43" s="20" t="str">
        <x:f>IF(OR(COUNT(C43:D43)&lt;2,C43=0),"",E43/C43)</x:f>
      </x:c>
      <x:c r="G43" s="18" t="n">
        <x:v>5</x:v>
      </x:c>
      <x:c r="H43" s="17"/>
      <x:c r="I43" s="10" t="str">
        <x:f>IF(COUNT(C43:D43)&lt;2,"NOT MEASURED",IF(OR(L43="",M43="",N43="",O43="",P43=""),"NEEDS PROVENANCE",IF(N43="D","UNVERIFIED SOURCE",IF(COUNT(H43)=0,"NEEDS UNCERTAINTY",IF(H43&lt;0,"INVALID UNCERTAINTY",IF(ABS(E43)+H43&lt;=G43,"WITHIN TOLERANCE","REVIEW REQUIRED"))))))</x:f>
        <x:v>NOT MEASURED</x:v>
      </x:c>
      <x:c r="J43" s="12" t="str">
        <x:f>IF(COUNT(C43)=0,"",C43/25.4)</x:f>
      </x:c>
      <x:c r="K43" s="12" t="str">
        <x:f>IF(COUNT(D43)=0,"",D43/25.4)</x:f>
      </x:c>
      <x:c r="L43" s="16"/>
      <x:c r="M43" s="16"/>
      <x:c r="N43" s="16"/>
      <x:c r="O43" s="16"/>
      <x:c r="P43" s="16"/>
    </x:row>
    <x:row r="44" ht="34" customHeight="1">
      <x:c r="A44" s="11" t="str">
        <x:v>V40</x:v>
      </x:c>
      <x:c r="B44" s="11" t="str">
        <x:v>Independent vertical control span</x:v>
      </x:c>
      <x:c r="C44" s="17"/>
      <x:c r="D44" s="17"/>
      <x:c r="E44" s="19" t="str">
        <x:f>IF(COUNT(C44:D44)&lt;2,"",D44-C44)</x:f>
      </x:c>
      <x:c r="F44" s="21" t="str">
        <x:f>IF(OR(COUNT(C44:D44)&lt;2,C44=0),"",E44/C44)</x:f>
      </x:c>
      <x:c r="G44" s="19" t="n">
        <x:v>5</x:v>
      </x:c>
      <x:c r="H44" s="17"/>
      <x:c r="I44" s="11" t="str">
        <x:f>IF(COUNT(C44:D44)&lt;2,"NOT MEASURED",IF(OR(L44="",M44="",N44="",O44="",P44=""),"NEEDS PROVENANCE",IF(N44="D","UNVERIFIED SOURCE",IF(COUNT(H44)=0,"NEEDS UNCERTAINTY",IF(H44&lt;0,"INVALID UNCERTAINTY",IF(ABS(E44)+H44&lt;=G44,"WITHIN TOLERANCE","REVIEW REQUIRED"))))))</x:f>
        <x:v>NOT MEASURED</x:v>
      </x:c>
      <x:c r="J44" s="13" t="str">
        <x:f>IF(COUNT(C44)=0,"",C44/25.4)</x:f>
      </x:c>
      <x:c r="K44" s="13" t="str">
        <x:f>IF(COUNT(D44)=0,"",D44/25.4)</x:f>
      </x:c>
      <x:c r="L44" s="16"/>
      <x:c r="M44" s="16"/>
      <x:c r="N44" s="16"/>
      <x:c r="O44" s="16"/>
      <x:c r="P44" s="16"/>
    </x:row>
  </x:sheetData>
  <x:dataValidations count="2">
    <x:dataValidation type="list" sqref="N5:N44">
      <x:formula1>"A,B,C,D"</x:formula1>
    </x:dataValidation>
    <x:dataValidation type="list" sqref="M5:M44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44725e1695404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3" hidden="0" customWidth="1"/>
    <x:col min="2" max="2" width="15" hidden="0" customWidth="1"/>
    <x:col min="3" max="3" width="15" hidden="0" customWidth="1"/>
    <x:col min="4" max="4" width="1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65" hidden="0" customWidth="1"/>
  </x:cols>
  <x:sheetData>
    <x:row r="1">
      <x:c r="A1" s="3" t="str">
        <x:v>Owner design requirements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4" t="str">
        <x:v>These values are desired component envelopes, not measured vehicle dimensions.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4" customHeight="1">
      <x:c r="A4" s="8" t="str">
        <x:v>Requirement</x:v>
      </x:c>
      <x:c r="B4" s="8" t="str">
        <x:v>Minimum</x:v>
      </x:c>
      <x:c r="C4" s="8" t="str">
        <x:v>Maximum</x:v>
      </x:c>
      <x:c r="D4" s="8" t="str">
        <x:v>Unit</x:v>
      </x:c>
      <x:c r="E4" s="8" t="str">
        <x:v>Minimum mm</x:v>
      </x:c>
      <x:c r="F4" s="8" t="str">
        <x:v>Maximum mm</x:v>
      </x:c>
      <x:c r="G4" s="8" t="str">
        <x:v>Minimum in</x:v>
      </x:c>
      <x:c r="H4" s="8" t="str">
        <x:v>Maximum in</x:v>
      </x:c>
      <x:c r="I4" s="8" t="str">
        <x:v>Source</x:v>
      </x:c>
      <x:c r="J4" s="8" t="str">
        <x:v>Notes</x:v>
      </x:c>
    </x:row>
    <x:row r="5" ht="34" customHeight="1">
      <x:c r="A5" s="10" t="str">
        <x:v>Chair desired total width</x:v>
      </x:c>
      <x:c r="B5" s="12" t="n">
        <x:v>21</x:v>
      </x:c>
      <x:c r="C5" s="12" t="n">
        <x:v>23</x:v>
      </x:c>
      <x:c r="D5" s="12" t="str">
        <x:v>in</x:v>
      </x:c>
      <x:c r="E5" s="12" t="n">
        <x:f>IF(D5="mm",B5,IF(D5="in",B5*25.4,""))</x:f>
        <x:v>533.4</x:v>
      </x:c>
      <x:c r="F5" s="12" t="n">
        <x:f>IF(D5="mm",C5,IF(D5="in",C5*25.4,""))</x:f>
        <x:v>584.1999999999999</x:v>
      </x:c>
      <x:c r="G5" s="12" t="n">
        <x:f>IF(E5="","",E5/25.4)</x:f>
        <x:v>21</x:v>
      </x:c>
      <x:c r="H5" s="12" t="n">
        <x:f>IF(F5="","",F5/25.4)</x:f>
        <x:v>23</x:v>
      </x:c>
      <x:c r="I5" s="10" t="str">
        <x:v>Owner brief</x:v>
      </x:c>
      <x:c r="J5" s="10" t="str">
        <x:v>Feasibility pending; include arms and mechanism. Do not force.</x:v>
      </x:c>
    </x:row>
    <x:row r="6" ht="34" customHeight="1">
      <x:c r="A6" s="11" t="str">
        <x:v>Cooler initial width</x:v>
      </x:c>
      <x:c r="B6" s="13" t="n">
        <x:v>200</x:v>
      </x:c>
      <x:c r="C6" s="13" t="n">
        <x:v>250</x:v>
      </x:c>
      <x:c r="D6" s="13" t="str">
        <x:v>mm</x:v>
      </x:c>
      <x:c r="E6" s="13" t="n">
        <x:f>IF(D6="mm",B6,IF(D6="in",B6*25.4,""))</x:f>
        <x:v>200</x:v>
      </x:c>
      <x:c r="F6" s="13" t="n">
        <x:f>IF(D6="mm",C6,IF(D6="in",C6*25.4,""))</x:f>
        <x:v>250</x:v>
      </x:c>
      <x:c r="G6" s="13" t="n">
        <x:f>IF(E6="","",E6/25.4)</x:f>
        <x:v>7.874015748031496</x:v>
      </x:c>
      <x:c r="H6" s="13" t="n">
        <x:f>IF(F6="","",F6/25.4)</x:f>
        <x:v>9.84251968503937</x:v>
      </x:c>
      <x:c r="I6" s="11" t="str">
        <x:v>Owner brief</x:v>
      </x:c>
      <x:c r="J6" s="11" t="str">
        <x:v>Delete if third-row access suffers.</x:v>
      </x:c>
    </x:row>
    <x:row r="7" ht="34" customHeight="1">
      <x:c r="A7" s="10" t="str">
        <x:v>Cooler initial length</x:v>
      </x:c>
      <x:c r="B7" s="12" t="n">
        <x:v>400</x:v>
      </x:c>
      <x:c r="C7" s="12" t="n">
        <x:v>600</x:v>
      </x:c>
      <x:c r="D7" s="12" t="str">
        <x:v>mm</x:v>
      </x:c>
      <x:c r="E7" s="12" t="n">
        <x:f>IF(D7="mm",B7,IF(D7="in",B7*25.4,""))</x:f>
        <x:v>400</x:v>
      </x:c>
      <x:c r="F7" s="12" t="n">
        <x:f>IF(D7="mm",C7,IF(D7="in",C7*25.4,""))</x:f>
        <x:v>600</x:v>
      </x:c>
      <x:c r="G7" s="12" t="n">
        <x:f>IF(E7="","",E7/25.4)</x:f>
        <x:v>15.748031496062993</x:v>
      </x:c>
      <x:c r="H7" s="12" t="n">
        <x:f>IF(F7="","",F7/25.4)</x:f>
        <x:v>23.62204724409449</x:v>
      </x:c>
      <x:c r="I7" s="10" t="str">
        <x:v>Owner brief</x:v>
      </x:c>
      <x:c r="J7" s="10" t="str">
        <x:v>Starting envelope only.</x:v>
      </x:c>
    </x:row>
    <x:row r="8" ht="34" customHeight="1">
      <x:c r="A8" s="11" t="str">
        <x:v>Cooler initial height</x:v>
      </x:c>
      <x:c r="B8" s="13" t="n">
        <x:v>450</x:v>
      </x:c>
      <x:c r="C8" s="13" t="n">
        <x:v>600</x:v>
      </x:c>
      <x:c r="D8" s="13" t="str">
        <x:v>mm</x:v>
      </x:c>
      <x:c r="E8" s="13" t="n">
        <x:f>IF(D8="mm",B8,IF(D8="in",B8*25.4,""))</x:f>
        <x:v>450</x:v>
      </x:c>
      <x:c r="F8" s="13" t="n">
        <x:f>IF(D8="mm",C8,IF(D8="in",C8*25.4,""))</x:f>
        <x:v>600</x:v>
      </x:c>
      <x:c r="G8" s="13" t="n">
        <x:f>IF(E8="","",E8/25.4)</x:f>
        <x:v>17.716535433070867</x:v>
      </x:c>
      <x:c r="H8" s="13" t="n">
        <x:f>IF(F8="","",F8/25.4)</x:f>
        <x:v>23.62204724409449</x:v>
      </x:c>
      <x:c r="I8" s="11" t="str">
        <x:v>Owner brief</x:v>
      </x:c>
      <x:c r="J8" s="11" t="str">
        <x:v>Starting envelope only.</x:v>
      </x:c>
    </x:row>
    <x:row r="9" ht="34" customHeight="1">
      <x:c r="A9" s="10" t="str">
        <x:v>Cooler desired volume</x:v>
      </x:c>
      <x:c r="B9" s="12" t="n">
        <x:v>10</x:v>
      </x:c>
      <x:c r="C9" s="12" t="n">
        <x:v>15</x:v>
      </x:c>
      <x:c r="D9" s="12" t="str">
        <x:v>L</x:v>
      </x:c>
      <x:c r="E9" s="12" t="str">
        <x:f>IF(D9="mm",B9,IF(D9="in",B9*25.4,""))</x:f>
      </x:c>
      <x:c r="F9" s="12" t="str">
        <x:f>IF(D9="mm",C9,IF(D9="in",C9*25.4,""))</x:f>
      </x:c>
      <x:c r="G9" s="12" t="str">
        <x:f>IF(E9="","",E9/25.4)</x:f>
      </x:c>
      <x:c r="H9" s="12" t="str">
        <x:f>IF(F9="","",F9/25.4)</x:f>
      </x:c>
      <x:c r="I9" s="10" t="str">
        <x:v>Owner brief</x:v>
      </x:c>
      <x:c r="J9" s="10" t="str">
        <x:v>Internal refrigerated volume; not exterior envelope.</x:v>
      </x:c>
    </x:row>
    <x:row r="10" ht="34" customHeight="1">
      <x:c r="A10" s="11" t="str">
        <x:v>Display nominal diagonal</x:v>
      </x:c>
      <x:c r="B10" s="13" t="n">
        <x:v>14</x:v>
      </x:c>
      <x:c r="C10" s="13" t="n">
        <x:v>14</x:v>
      </x:c>
      <x:c r="D10" s="13" t="str">
        <x:v>in</x:v>
      </x:c>
      <x:c r="E10" s="13" t="n">
        <x:f>IF(D10="mm",B10,IF(D10="in",B10*25.4,""))</x:f>
        <x:v>355.59999999999997</x:v>
      </x:c>
      <x:c r="F10" s="13" t="n">
        <x:f>IF(D10="mm",C10,IF(D10="in",C10*25.4,""))</x:f>
        <x:v>355.59999999999997</x:v>
      </x:c>
      <x:c r="G10" s="13" t="n">
        <x:f>IF(E10="","",E10/25.4)</x:f>
        <x:v>14</x:v>
      </x:c>
      <x:c r="H10" s="13" t="n">
        <x:f>IF(F10="","",F10/25.4)</x:f>
        <x:v>14</x:v>
      </x:c>
      <x:c r="I10" s="11" t="str">
        <x:v>Owner brief</x:v>
      </x:c>
      <x:c r="J10" s="11" t="str">
        <x:v>Diagonal only; bezel, aspect ratio and thickness unknown.</x:v>
      </x:c>
    </x:row>
    <x:row r="11" ht="34" customHeight="1">
      <x:c r="A11" s="10" t="str">
        <x:v>Carry-on length</x:v>
      </x:c>
      <x:c r="B11" s="12" t="n">
        <x:v>22</x:v>
      </x:c>
      <x:c r="C11" s="12" t="n">
        <x:v>22</x:v>
      </x:c>
      <x:c r="D11" s="12" t="str">
        <x:v>in</x:v>
      </x:c>
      <x:c r="E11" s="12" t="n">
        <x:f>IF(D11="mm",B11,IF(D11="in",B11*25.4,""))</x:f>
        <x:v>558.8</x:v>
      </x:c>
      <x:c r="F11" s="12" t="n">
        <x:f>IF(D11="mm",C11,IF(D11="in",C11*25.4,""))</x:f>
        <x:v>558.8</x:v>
      </x:c>
      <x:c r="G11" s="12" t="n">
        <x:f>IF(E11="","",E11/25.4)</x:f>
        <x:v>22</x:v>
      </x:c>
      <x:c r="H11" s="12" t="n">
        <x:f>IF(F11="","",F11/25.4)</x:f>
        <x:v>22</x:v>
      </x:c>
      <x:c r="I11" s="10" t="str">
        <x:v>Owner brief</x:v>
      </x:c>
      <x:c r="J11" s="10" t="str">
        <x:v>Owner test envelope; clarify inclusion of handles/wheels.</x:v>
      </x:c>
    </x:row>
    <x:row r="12" ht="34" customHeight="1">
      <x:c r="A12" s="11" t="str">
        <x:v>Carry-on width</x:v>
      </x:c>
      <x:c r="B12" s="13" t="n">
        <x:v>14</x:v>
      </x:c>
      <x:c r="C12" s="13" t="n">
        <x:v>14</x:v>
      </x:c>
      <x:c r="D12" s="13" t="str">
        <x:v>in</x:v>
      </x:c>
      <x:c r="E12" s="13" t="n">
        <x:f>IF(D12="mm",B12,IF(D12="in",B12*25.4,""))</x:f>
        <x:v>355.59999999999997</x:v>
      </x:c>
      <x:c r="F12" s="13" t="n">
        <x:f>IF(D12="mm",C12,IF(D12="in",C12*25.4,""))</x:f>
        <x:v>355.59999999999997</x:v>
      </x:c>
      <x:c r="G12" s="13" t="n">
        <x:f>IF(E12="","",E12/25.4)</x:f>
        <x:v>14</x:v>
      </x:c>
      <x:c r="H12" s="13" t="n">
        <x:f>IF(F12="","",F12/25.4)</x:f>
        <x:v>14</x:v>
      </x:c>
      <x:c r="I12" s="11" t="str">
        <x:v>Owner brief</x:v>
      </x:c>
      <x:c r="J12" s="11" t="str">
        <x:v>Owner test envelope; clarify inclusion of handles/wheels.</x:v>
      </x:c>
    </x:row>
    <x:row r="13" ht="34" customHeight="1">
      <x:c r="A13" s="10" t="str">
        <x:v>Carry-on depth</x:v>
      </x:c>
      <x:c r="B13" s="12" t="n">
        <x:v>9</x:v>
      </x:c>
      <x:c r="C13" s="12" t="n">
        <x:v>9</x:v>
      </x:c>
      <x:c r="D13" s="12" t="str">
        <x:v>in</x:v>
      </x:c>
      <x:c r="E13" s="12" t="n">
        <x:f>IF(D13="mm",B13,IF(D13="in",B13*25.4,""))</x:f>
        <x:v>228.6</x:v>
      </x:c>
      <x:c r="F13" s="12" t="n">
        <x:f>IF(D13="mm",C13,IF(D13="in",C13*25.4,""))</x:f>
        <x:v>228.6</x:v>
      </x:c>
      <x:c r="G13" s="12" t="n">
        <x:f>IF(E13="","",E13/25.4)</x:f>
        <x:v>9</x:v>
      </x:c>
      <x:c r="H13" s="12" t="n">
        <x:f>IF(F13="","",F13/25.4)</x:f>
        <x:v>9</x:v>
      </x:c>
      <x:c r="I13" s="10" t="str">
        <x:v>Owner brief</x:v>
      </x:c>
      <x:c r="J13" s="10" t="str">
        <x:v>Owner test envelope; clarify inclusion of handles/wheels.</x:v>
      </x:c>
    </x:row>
    <x:row r="14" ht="34" customHeight="1">
      <x:c r="A14" s="11" t="str">
        <x:v>Medium suitcase length</x:v>
      </x:c>
      <x:c r="B14" s="13" t="n">
        <x:v>26</x:v>
      </x:c>
      <x:c r="C14" s="13" t="n">
        <x:v>26</x:v>
      </x:c>
      <x:c r="D14" s="13" t="str">
        <x:v>in</x:v>
      </x:c>
      <x:c r="E14" s="13" t="n">
        <x:f>IF(D14="mm",B14,IF(D14="in",B14*25.4,""))</x:f>
        <x:v>660.4</x:v>
      </x:c>
      <x:c r="F14" s="13" t="n">
        <x:f>IF(D14="mm",C14,IF(D14="in",C14*25.4,""))</x:f>
        <x:v>660.4</x:v>
      </x:c>
      <x:c r="G14" s="13" t="n">
        <x:f>IF(E14="","",E14/25.4)</x:f>
        <x:v>26</x:v>
      </x:c>
      <x:c r="H14" s="13" t="n">
        <x:f>IF(F14="","",F14/25.4)</x:f>
        <x:v>26</x:v>
      </x:c>
      <x:c r="I14" s="11" t="str">
        <x:v>Owner brief</x:v>
      </x:c>
      <x:c r="J14" s="11" t="str">
        <x:v>Owner test envelope; clarify inclusion of handles/wheels.</x:v>
      </x:c>
    </x:row>
    <x:row r="15" ht="34" customHeight="1">
      <x:c r="A15" s="10" t="str">
        <x:v>Medium suitcase width</x:v>
      </x:c>
      <x:c r="B15" s="12" t="n">
        <x:v>18</x:v>
      </x:c>
      <x:c r="C15" s="12" t="n">
        <x:v>18</x:v>
      </x:c>
      <x:c r="D15" s="12" t="str">
        <x:v>in</x:v>
      </x:c>
      <x:c r="E15" s="12" t="n">
        <x:f>IF(D15="mm",B15,IF(D15="in",B15*25.4,""))</x:f>
        <x:v>457.2</x:v>
      </x:c>
      <x:c r="F15" s="12" t="n">
        <x:f>IF(D15="mm",C15,IF(D15="in",C15*25.4,""))</x:f>
        <x:v>457.2</x:v>
      </x:c>
      <x:c r="G15" s="12" t="n">
        <x:f>IF(E15="","",E15/25.4)</x:f>
        <x:v>18</x:v>
      </x:c>
      <x:c r="H15" s="12" t="n">
        <x:f>IF(F15="","",F15/25.4)</x:f>
        <x:v>18</x:v>
      </x:c>
      <x:c r="I15" s="10" t="str">
        <x:v>Owner brief</x:v>
      </x:c>
      <x:c r="J15" s="10" t="str">
        <x:v>Owner test envelope; clarify inclusion of handles/wheels.</x:v>
      </x:c>
    </x:row>
    <x:row r="16" ht="34" customHeight="1">
      <x:c r="A16" s="11" t="str">
        <x:v>Medium suitcase depth</x:v>
      </x:c>
      <x:c r="B16" s="13" t="n">
        <x:v>11</x:v>
      </x:c>
      <x:c r="C16" s="13" t="n">
        <x:v>11</x:v>
      </x:c>
      <x:c r="D16" s="13" t="str">
        <x:v>in</x:v>
      </x:c>
      <x:c r="E16" s="13" t="n">
        <x:f>IF(D16="mm",B16,IF(D16="in",B16*25.4,""))</x:f>
        <x:v>279.4</x:v>
      </x:c>
      <x:c r="F16" s="13" t="n">
        <x:f>IF(D16="mm",C16,IF(D16="in",C16*25.4,""))</x:f>
        <x:v>279.4</x:v>
      </x:c>
      <x:c r="G16" s="13" t="n">
        <x:f>IF(E16="","",E16/25.4)</x:f>
        <x:v>11</x:v>
      </x:c>
      <x:c r="H16" s="13" t="n">
        <x:f>IF(F16="","",F16/25.4)</x:f>
        <x:v>11</x:v>
      </x:c>
      <x:c r="I16" s="11" t="str">
        <x:v>Owner brief</x:v>
      </x:c>
      <x:c r="J16" s="11" t="str">
        <x:v>Owner test envelope; clarify inclusion of handles/wheels.</x:v>
      </x:c>
    </x:row>
  </x:sheetData>
  <x:pageMargins left="0.7" right="0.7" top="0.75" bottom="0.75" header="0.3" footer="0.3"/>
  <x:tableParts count="1">
    <x:tablePart xmlns:r="http://schemas.openxmlformats.org/officeDocument/2006/relationships" r:id="Rf0e94345515148f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54" hidden="0" customWidth="1"/>
    <x:col min="3" max="3" width="78" hidden="0" customWidth="1"/>
    <x:col min="4" max="4" width="49" hidden="0" customWidth="1"/>
    <x:col min="5" max="5" width="43" hidden="0" customWidth="1"/>
    <x:col min="6" max="6" width="16" hidden="0" customWidth="1"/>
    <x:col min="7" max="7" width="76" hidden="0" customWidth="1"/>
  </x:cols>
  <x:sheetData>
    <x:row r="1">
      <x:c r="A1" s="3" t="str">
        <x:v>Source and access register</x:v>
      </x:c>
      <x:c r="B1" s="1"/>
      <x:c r="C1" s="1"/>
      <x:c r="D1" s="1"/>
      <x:c r="E1" s="1"/>
      <x:c r="F1" s="1"/>
      <x:c r="G1" s="1"/>
    </x:row>
    <x:row r="2">
      <x:c r="A2" s="4" t="str">
        <x:v>Research 9 September 2026. Retain publication/model scope. Missing URLs identify the supplied brief.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4" customHeight="1">
      <x:c r="A4" s="8" t="str">
        <x:v>ID</x:v>
      </x:c>
      <x:c r="B4" s="8" t="str">
        <x:v>Source</x:v>
      </x:c>
      <x:c r="C4" s="8" t="str">
        <x:v>URL</x:v>
      </x:c>
      <x:c r="D4" s="8" t="str">
        <x:v>Model/year scope</x:v>
      </x:c>
      <x:c r="E4" s="8" t="str">
        <x:v>Access status</x:v>
      </x:c>
      <x:c r="F4" s="8" t="str">
        <x:v>Accessed</x:v>
      </x:c>
      <x:c r="G4" s="8" t="str">
        <x:v>Notes</x:v>
      </x:c>
    </x:row>
    <x:row r="5" ht="40" customHeight="1">
      <x:c r="A5" s="10" t="str">
        <x:v>U01</x:v>
      </x:c>
      <x:c r="B5" s="10" t="str">
        <x:v>Owner project brief</x:v>
      </x:c>
      <x:c r="C5" s="10" t="str"/>
      <x:c r="D5" s="10" t="str">
        <x:v>Target 2023 R1S</x:v>
      </x:c>
      <x:c r="E5" s="10" t="str">
        <x:v>Supplied text</x:v>
      </x:c>
      <x:c r="F5" s="10" t="str">
        <x:v>2026-09-09</x:v>
      </x:c>
      <x:c r="G5" s="10" t="str">
        <x:v>Initial reference claims; no physical measurements or photographs supplied.</x:v>
      </x:c>
    </x:row>
    <x:row r="6" ht="34" customHeight="1">
      <x:c r="A6" s="11" t="str">
        <x:v>S01</x:v>
      </x:c>
      <x:c r="B6" s="11" t="str">
        <x:v>Rivian — Sizing Up the R1S</x:v>
      </x:c>
      <x:c r="C6" s="11" t="str">
        <x:v>https://rivian.com/stories/sizing-up-the-r1s</x:v>
      </x:c>
      <x:c r="D6" s="11" t="str">
        <x:v>Launch-era R1S; 2022 publication</x:v>
      </x:c>
      <x:c r="E6" s="11" t="str">
        <x:v>Opened</x:v>
      </x:c>
      <x:c r="F6" s="11" t="str">
        <x:v>2026-09-09</x:v>
      </x:c>
      <x:c r="G6" s="11" t="str">
        <x:v>OEM publication. Exterior and storage references only.</x:v>
      </x:c>
    </x:row>
    <x:row r="7" ht="40" customHeight="1">
      <x:c r="A7" s="10" t="str">
        <x:v>S02</x:v>
      </x:c>
      <x:c r="B7" s="10" t="str">
        <x:v>Rivian — current model comparison</x:v>
      </x:c>
      <x:c r="C7" s="10" t="str">
        <x:v>https://rivian.com/en-US/compare?a=r1t-quad-launch&amp;b=r1t-tri&amp;c=r1t-dual</x:v>
      </x:c>
      <x:c r="D7" s="10" t="str">
        <x:v>Current comparison; R1S column, not MY2023 certification</x:v>
      </x:c>
      <x:c r="E7" s="10" t="str">
        <x:v>Indexed content inspected</x:v>
      </x:c>
      <x:c r="F7" s="10" t="str">
        <x:v>2026-09-09</x:v>
      </x:c>
      <x:c r="G7" s="10" t="str">
        <x:v>Mirrors folded/extended and min/max height have separate definitions.</x:v>
      </x:c>
    </x:row>
    <x:row r="8" ht="40" customHeight="1">
      <x:c r="A8" s="11" t="str">
        <x:v>S03</x:v>
      </x:c>
      <x:c r="B8" s="11" t="str">
        <x:v>velosnow — received Rivian cargo specifications</x:v>
      </x:c>
      <x:c r="C8" s="11" t="str">
        <x:v>https://www.reddit.com/r/Rivian/comments/vssjer/r1s_interieor_dimensions/</x:v>
      </x:c>
      <x:c r="D8" s="11" t="str">
        <x:v>2022 support-email relay</x:v>
      </x:c>
      <x:c r="E8" s="11" t="str">
        <x:v>Opened</x:v>
      </x:c>
      <x:c r="F8" s="11" t="str">
        <x:v>2026-09-09</x:v>
      </x:c>
      <x:c r="G8" s="11" t="str">
        <x:v>Original recipient report; underlying OEM message not authenticated. D/1; not independent of reposts.</x:v>
      </x:c>
    </x:row>
    <x:row r="9" ht="40" customHeight="1">
      <x:c r="A9" s="10" t="str">
        <x:v>S04</x:v>
      </x:c>
      <x:c r="B9" s="10" t="str">
        <x:v>whyasky — received Rivian interior specifications, post 148</x:v>
      </x:c>
      <x:c r="C9" s="10" t="str">
        <x:v>https://www.rivianforums.com/forum/threads/what-we-know-collecting-information-directly-from-rivian.827/page-10#post-15113</x:v>
      </x:c>
      <x:c r="D9" s="10" t="str">
        <x:v>November 2020 preproduction; 7-passenger R1S column</x:v>
      </x:c>
      <x:c r="E9" s="10" t="str">
        <x:v>Opened</x:v>
      </x:c>
      <x:c r="F9" s="10" t="str">
        <x:v>2026-09-09</x:v>
      </x:c>
      <x:c r="G9" s="10" t="str">
        <x:v>Original recipient transcription; SAE codes supplied but measurement protocol not recovered. D/1.</x:v>
      </x:c>
    </x:row>
    <x:row r="10" ht="40" customHeight="1">
      <x:c r="A10" s="11" t="str">
        <x:v>S05</x:v>
      </x:c>
      <x:c r="B10" s="11" t="str">
        <x:v>Andrew P. Collins — usable cargo measured</x:v>
      </x:c>
      <x:c r="C10" s="11" t="str">
        <x:v>https://www.thedrive.com/news/we-measured-the-2022-rivian-r1ss-cargo-storage-to-determine-its-usable-space</x:v>
      </x:c>
      <x:c r="D10" s="11" t="str">
        <x:v>2022 media vehicle</x:v>
      </x:c>
      <x:c r="E10" s="11" t="str">
        <x:v>Opened</x:v>
      </x:c>
      <x:c r="F10" s="11" t="str">
        <x:v>2026-09-09</x:v>
      </x:c>
      <x:c r="G10" s="11" t="str">
        <x:v>Comfortable cuboid envelopes, not surface maxima; illustrated boxes not drawn to scale.</x:v>
      </x:c>
    </x:row>
    <x:row r="11" ht="40" customHeight="1">
      <x:c r="A11" s="10" t="str">
        <x:v>S06</x:v>
      </x:c>
      <x:c r="B11" s="10" t="str">
        <x:v>lmr — Rivian cargo dimensions relay</x:v>
      </x:c>
      <x:c r="C11" s="10" t="str">
        <x:v>https://www.rivianforums.com/forum/threads/r1s-size-comparisons-to-other-suvs-and-trucks.5699/page-2</x:v>
      </x:c>
      <x:c r="D11" s="10" t="str">
        <x:v>June 2022 relay</x:v>
      </x:c>
      <x:c r="E11" s="10" t="str">
        <x:v>Indexed content inspected</x:v>
      </x:c>
      <x:c r="F11" s="10" t="str">
        <x:v>2026-09-09</x:v>
      </x:c>
      <x:c r="G11" s="10" t="str">
        <x:v>Unverified endpoint/configuration; preserve conflict with S03.</x:v>
      </x:c>
    </x:row>
    <x:row r="12" ht="40" customHeight="1">
      <x:c r="A12" s="11" t="str">
        <x:v>S07</x:v>
      </x:c>
      <x:c r="B12" s="11" t="str">
        <x:v>NHTSA-hosted rollover measurement report lead</x:v>
      </x:c>
      <x:c r="C12" s="11" t="str">
        <x:v>https://downloads.regulations.gov/NHTSA-2001-9663-0550/attachment_1.pdf</x:v>
      </x:c>
      <x:c r="D12" s="11" t="str">
        <x:v>2023 R1S; test 27 March 2023</x:v>
      </x:c>
      <x:c r="E12" s="11" t="str">
        <x:v>Indexed excerpt only; PDF open failed</x:v>
      </x:c>
      <x:c r="F12" s="11" t="str">
        <x:v>2026-09-09</x:v>
      </x:c>
      <x:c r="G12" s="11" t="str">
        <x:v>Test 8398, page label C-32 in excerpt. D/1 pending document inspection. Different vehicle, never B.</x:v>
      </x:c>
    </x:row>
    <x:row r="13" ht="40" customHeight="1">
      <x:c r="A13" s="10" t="str">
        <x:v>S08</x:v>
      </x:c>
      <x:c r="B13" s="10" t="str">
        <x:v>BamBeds R1S platform manufacturer</x:v>
      </x:c>
      <x:c r="C13" s="10" t="str">
        <x:v>https://bambeds.com/products/bambed-rivian-r1s</x:v>
      </x:c>
      <x:c r="D13" s="10" t="str">
        <x:v>Gen 1 and Gen 2 options; dimensions not individually scoped</x:v>
      </x:c>
      <x:c r="E13" s="10" t="str">
        <x:v>Opened</x:v>
      </x:c>
      <x:c r="F13" s="10" t="str">
        <x:v>2026-09-09</x:v>
      </x:c>
      <x:c r="G13" s="10" t="str">
        <x:v>Published accessory dimensions only. Do not use to define body surfaces.</x:v>
      </x:c>
    </x:row>
    <x:row r="14" ht="40" customHeight="1">
      <x:c r="A14" s="11" t="str">
        <x:v>S09</x:v>
      </x:c>
      <x:c r="B14" s="11" t="str">
        <x:v>Rivian cargo cover</x:v>
      </x:c>
      <x:c r="C14" s="11" t="str">
        <x:v>https://gearshop.rivian.com/products/r1s-cargo-cover</x:v>
      </x:c>
      <x:c r="D14" s="11" t="str">
        <x:v>Current accessory listing; generation unspecified</x:v>
      </x:c>
      <x:c r="E14" s="11" t="str">
        <x:v>Indexed content inspected</x:v>
      </x:c>
      <x:c r="F14" s="11" t="str">
        <x:v>2026-09-09</x:v>
      </x:c>
      <x:c r="G14" s="11" t="str">
        <x:v>Product dimensions; not cargo width or mounting-point coordinates.</x:v>
      </x:c>
    </x:row>
    <x:row r="15" ht="40" customHeight="1">
      <x:c r="A15" s="10" t="str">
        <x:v>S10</x:v>
      </x:c>
      <x:c r="B15" s="10" t="str">
        <x:v>Rivian 2023 owner guide</x:v>
      </x:c>
      <x:c r="C15" s="10" t="str">
        <x:v>https://assets.rivian.com/2md5qhoeajym/7Ao7NIFkLxOZtvdc7Fqh70/fff272692b97bdd50251339da18fa594/r1s-og-en-us-20230227.pdf</x:v>
      </x:c>
      <x:c r="D15" s="10" t="str">
        <x:v>February 2023</x:v>
      </x:c>
      <x:c r="E15" s="10" t="str">
        <x:v>Indexed content inspected</x:v>
      </x:c>
      <x:c r="F15" s="10" t="str">
        <x:v>2026-09-09</x:v>
      </x:c>
      <x:c r="G15" s="10" t="str">
        <x:v>Stock component and operating reference; no cabin survey extracted.</x:v>
      </x:c>
    </x:row>
    <x:row r="16" ht="40" customHeight="1">
      <x:c r="A16" s="11" t="str">
        <x:v>S11</x:v>
      </x:c>
      <x:c r="B16" s="11" t="str">
        <x:v>Rivian MY2022–2024 owner guide</x:v>
      </x:c>
      <x:c r="C16" s="11" t="str">
        <x:v>https://assets.rivian.com/2md5qhoeajym/7Ao7NIFkLxOZtvdc7Fqh70/c8c4a585ae141effce63b41ead2b8ce0/r1s-og-en-us-20240722.pdf</x:v>
      </x:c>
      <x:c r="D16" s="11" t="str">
        <x:v>MY2022–2024; version 2024.27</x:v>
      </x:c>
      <x:c r="E16" s="11" t="str">
        <x:v>Opened</x:v>
      </x:c>
      <x:c r="F16" s="11" t="str">
        <x:v>2026-09-09</x:v>
      </x:c>
      <x:c r="G16" s="11" t="str">
        <x:v>No complete dimensional cabin/hardpoint table located.</x:v>
      </x:c>
    </x:row>
    <x:row r="17" ht="40" customHeight="1">
      <x:c r="A17" s="10" t="str">
        <x:v>S12</x:v>
      </x:c>
      <x:c r="B17" s="10" t="str">
        <x:v>Mojave — second-row removal</x:v>
      </x:c>
      <x:c r="C17" s="10" t="str">
        <x:v>https://rivianforums.com/forum/threads/step-by-step-removal-of-second-row-in-r1s-diy-instructions-w-photos.23026/</x:v>
      </x:c>
      <x:c r="D17" s="10" t="str">
        <x:v>January 2024 owner post</x:v>
      </x:c>
      <x:c r="E17" s="10" t="str">
        <x:v>Indexed content inspected</x:v>
      </x:c>
      <x:c r="F17" s="10" t="str">
        <x:v>2026-09-09</x:v>
      </x:c>
      <x:c r="G17" s="10" t="str">
        <x:v>Photographic concealed-part reference; no measurements accepted.</x:v>
      </x:c>
    </x:row>
    <x:row r="18" ht="40" customHeight="1">
      <x:c r="A18" s="11" t="str">
        <x:v>S13</x:v>
      </x:c>
      <x:c r="B18" s="11" t="str">
        <x:v>Leesa — third-row removal</x:v>
      </x:c>
      <x:c r="C18" s="11" t="str">
        <x:v>https://www.rivianforums.com/forum/threads/diy-how-to-remove-3rd-row-from-gen-2-r1s-steps-and-photos.38049/</x:v>
      </x:c>
      <x:c r="D18" s="11" t="str">
        <x:v>Explicitly Gen 2</x:v>
      </x:c>
      <x:c r="E18" s="11" t="str">
        <x:v>Indexed content inspected</x:v>
      </x:c>
      <x:c r="F18" s="11" t="str">
        <x:v>2026-09-09</x:v>
      </x:c>
      <x:c r="G18" s="11" t="str">
        <x:v>Exclude from MY2023 dimensional construction.</x:v>
      </x:c>
    </x:row>
    <x:row r="19" ht="40" customHeight="1">
      <x:c r="A19" s="10" t="str">
        <x:v>S14</x:v>
      </x:c>
      <x:c r="B19" s="10" t="str">
        <x:v>S005J — free sleeping-platform CAD</x:v>
      </x:c>
      <x:c r="C19" s="10" t="str">
        <x:v>https://www.printables.com/fr/model/551407-rivian-r1s-sleeping-platform</x:v>
      </x:c>
      <x:c r="D19" s="10" t="str">
        <x:v>Published August 2023</x:v>
      </x:c>
      <x:c r="E19" s="10" t="str">
        <x:v>Listing inspected; files not downloaded</x:v>
      </x:c>
      <x:c r="F19" s="10" t="str">
        <x:v>2026-09-09</x:v>
      </x:c>
      <x:c r="G19" s="10" t="str">
        <x:v>STEP assembly advertised, accessory only; CC BY-NC 4.0. English URL failed to open.</x:v>
      </x:c>
    </x:row>
    <x:row r="20" ht="34" customHeight="1">
      <x:c r="A20" s="11" t="str">
        <x:v>S15</x:v>
      </x:c>
      <x:c r="B20" s="11" t="str">
        <x:v>WeatherTech 2023 R1S cargo liner</x:v>
      </x:c>
      <x:c r="C20" s="11" t="str">
        <x:v>https://www.weathertech.com/cargo-liner/2023_rivian_r1s/</x:v>
      </x:c>
      <x:c r="D20" s="11" t="str">
        <x:v>2023 fit listing</x:v>
      </x:c>
      <x:c r="E20" s="11" t="str">
        <x:v>Indexed content inspected</x:v>
      </x:c>
      <x:c r="F20" s="11" t="str">
        <x:v>2026-09-09</x:v>
      </x:c>
      <x:c r="G20" s="11" t="str">
        <x:v>No engineering mesh or surface coordinates located.</x:v>
      </x:c>
    </x:row>
    <x:row r="21" ht="40" customHeight="1">
      <x:c r="A21" s="10" t="str">
        <x:v>S16</x:v>
      </x:c>
      <x:c r="B21" s="10" t="str">
        <x:v>LinerX R1S cargo liner</x:v>
      </x:c>
      <x:c r="C21" s="10" t="str">
        <x:v>https://linerx.com/collections/rivian/products/linerx-cargo-liner-for-rivian-r1s</x:v>
      </x:c>
      <x:c r="D21" s="10" t="str">
        <x:v>2022–2027 fit listing</x:v>
      </x:c>
      <x:c r="E21" s="10" t="str">
        <x:v>Indexed content inspected</x:v>
      </x:c>
      <x:c r="F21" s="10" t="str">
        <x:v>2026-09-09</x:v>
      </x:c>
      <x:c r="G21" s="10" t="str">
        <x:v>No open dimensioned contour or scan located.</x:v>
      </x:c>
    </x:row>
    <x:row r="22" ht="40" customHeight="1">
      <x:c r="A22" s="11" t="str">
        <x:v>S17</x:v>
      </x:c>
      <x:c r="B22" s="11" t="str">
        <x:v>Copart 2023 R1S lot 44236755</x:v>
      </x:c>
      <x:c r="C22" s="11" t="str">
        <x:v>https://www.copart.com/lot/44236755/salvage-2023-rivian-r1s-adventure-ny-newburgh</x:v>
      </x:c>
      <x:c r="D22" s="11" t="str">
        <x:v>2023; front-end damage</x:v>
      </x:c>
      <x:c r="E22" s="11" t="str">
        <x:v>Listing indexed; no calibrated image analysis</x:v>
      </x:c>
      <x:c r="F22" s="11" t="str">
        <x:v>2026-09-09</x:v>
      </x:c>
      <x:c r="G22" s="11" t="str">
        <x:v>Visual lead only; damaged vehicle not a dimensional reference.</x:v>
      </x:c>
    </x:row>
    <x:row r="23" ht="34" customHeight="1">
      <x:c r="A23" s="10" t="str">
        <x:v>S18</x:v>
      </x:c>
      <x:c r="B23" s="10" t="str">
        <x:v>Remeshy free miniature</x:v>
      </x:c>
      <x:c r="C23" s="10" t="str">
        <x:v>https://remeshy.com/model/rivian-r1s-suv-model-da9f0673</x:v>
      </x:c>
      <x:c r="D23" s="10" t="str">
        <x:v>Miniature; published April 2026</x:v>
      </x:c>
      <x:c r="E23" s="10" t="str">
        <x:v>Listing inspected; no download</x:v>
      </x:c>
      <x:c r="F23" s="10" t="str">
        <x:v>2026-09-09</x:v>
      </x:c>
      <x:c r="G23" s="10" t="str">
        <x:v>STL/GLB listing, AI mesh language; rejected for engineering geometry.</x:v>
      </x:c>
    </x:row>
    <x:row r="24" ht="40" customHeight="1">
      <x:c r="A24" s="11" t="str">
        <x:v>S19</x:v>
      </x:c>
      <x:c r="B24" s="11" t="str">
        <x:v>Rivian ADAS position statement</x:v>
      </x:c>
      <x:c r="C24" s="11" t="str">
        <x:v>https://rts.i-car.com/images/pdf/oem-info/rivian/position-statements/71346x.pdf</x:v>
      </x:c>
      <x:c r="D24" s="11" t="str">
        <x:v>All years; February 2025 document</x:v>
      </x:c>
      <x:c r="E24" s="11" t="str">
        <x:v>Indexed content inspected</x:v>
      </x:c>
      <x:c r="F24" s="11" t="str">
        <x:v>2026-09-09</x:v>
      </x:c>
      <x:c r="G24" s="11" t="str">
        <x:v>Public Rivian-authored repair information, not cabin dimension data.</x:v>
      </x:c>
    </x:row>
    <x:row r="25" ht="40" customHeight="1">
      <x:c r="A25" s="10" t="str">
        <x:v>S20</x:v>
      </x:c>
      <x:c r="B25" s="10" t="str">
        <x:v>Rivian material matrix MY2025+</x:v>
      </x:c>
      <x:c r="C25" s="10" t="str">
        <x:v>https://www.rivianforums.com/forum/attachments/rivian_sg_r1s-material-matrix-rep-guide_2025_2b_2810-31-24_29-pdf.153799/</x:v>
      </x:c>
      <x:c r="D25" s="10" t="str">
        <x:v>MY2025+</x:v>
      </x:c>
      <x:c r="E25" s="10" t="str">
        <x:v>Indexed content inspected</x:v>
      </x:c>
      <x:c r="F25" s="10" t="str">
        <x:v>2026-09-09</x:v>
      </x:c>
      <x:c r="G25" s="10" t="str">
        <x:v>Excluded from Gen 1 dimensional constraints.</x:v>
      </x:c>
    </x:row>
  </x:sheetData>
  <x:pageMargins left="0.7" right="0.7" top="0.75" bottom="0.75" header="0.3" footer="0.3"/>
  <x:tableParts count="1">
    <x:tablePart xmlns:r="http://schemas.openxmlformats.org/officeDocument/2006/relationships" r:id="Rf09d45583fdf4613"/>
  </x:tableParts>
</x:worksheet>
</file>